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d4a098923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c8d0441743f4e75"/>
    <x:sheet xmlns:r="http://schemas.openxmlformats.org/officeDocument/2006/relationships" name="AI技能清单" sheetId="2" r:id="Rf4a31e6529754791"/>
    <x:sheet xmlns:r="http://schemas.openxmlformats.org/officeDocument/2006/relationships" name="分类统计" sheetId="3" r:id="R6e368dbb70184d42"/>
    <x:sheet xmlns:r="http://schemas.openxmlformats.org/officeDocument/2006/relationships" name="来源清单" sheetId="4" r:id="Ra0d15ea053a4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6d1ffe01b42a1" /><Relationship Type="http://schemas.openxmlformats.org/officeDocument/2006/relationships/theme" Target="/xl/theme/theme1.xml" Id="R0aae1a464f3f49d4" /><Relationship Type="http://schemas.openxmlformats.org/officeDocument/2006/relationships/sharedStrings" Target="/xl/sharedStrings.xml" Id="R3416158bcea448f9" /><Relationship Type="http://schemas.openxmlformats.org/officeDocument/2006/relationships/worksheet" Target="/xl/worksheets/sheet1.xml" Id="R7c8d0441743f4e75" /><Relationship Type="http://schemas.openxmlformats.org/officeDocument/2006/relationships/worksheet" Target="/xl/worksheets/sheet2.xml" Id="Rf4a31e6529754791" /><Relationship Type="http://schemas.openxmlformats.org/officeDocument/2006/relationships/worksheet" Target="/xl/worksheets/sheet3.xml" Id="R6e368dbb70184d42" /><Relationship Type="http://schemas.openxmlformats.org/officeDocument/2006/relationships/worksheet" Target="/xl/worksheets/sheet4.xml" Id="Ra0d15ea053a44d4b" /></Relationships>
</file>

<file path=xl/tables/table1.xml><?xml version="1.0" encoding="utf-8"?>
<x:table xmlns:x="http://schemas.openxmlformats.org/spreadsheetml/2006/main" id="1" name="FD06Skills0608" displayName="FD06Skills0608" ref="A4:S15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08" displayName="FD06Sources0608" ref="A4:H11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b53a755e6644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b6b0214d1a34f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06-08 考试评卷、成绩分析与学情诊断｜使用说明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11</x:v>
      </x:c>
    </x:row>
    <x:row r="7">
      <x:c r="A7" s="11" t="str">
        <x:v>收录范围</x:v>
      </x:c>
      <x:c r="B7" s="12" t="str">
        <x:v>06-08 考试评卷、成绩分析与学情诊断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06-08 考试评卷、成绩分析与学情诊断｜正式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11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FD-06-0194</x:v>
      </x:c>
      <x:c r="C5" s="17" t="str">
        <x:v>Calculus Learning Analytics（高等数学学情分析）</x:v>
      </x:c>
      <x:c r="D5" s="17" t="str">
        <x:v>06-08 考试评卷、成绩分析与学情诊断</x:v>
      </x:c>
      <x:c r="E5" s="17" t="str">
        <x:v>这个技能主要用于考试评卷、成绩分析与学情诊断。它可以帮助使用者梳理学习目标和能力要求、按标准检查作业并提出分数建议、分析成绩和学习过程数据、诊断知识薄弱点和教学问题。</x:v>
      </x:c>
      <x:c r="F5" s="17" t="str">
        <x:v>教师、助教、教学管理人员</x:v>
      </x:c>
      <x:c r="G5" s="17" t="str">
        <x:v>需要汇总评卷结果、分析成绩分布、发现学习薄弱点或识别需要支持的学生群体时</x:v>
      </x:c>
      <x:c r="H5" s="17" t="str">
        <x:v>去标识的答题结果、成绩表、题目知识点、班级信息和分析口径</x:v>
      </x:c>
      <x:c r="I5" s="17" t="str">
        <x:v>成绩统计、题目分析、学习薄弱点、群体差异和教学调整建议</x:v>
      </x:c>
      <x:c r="J5" s="19" t="str">
        <x:v>需要重新改造</x:v>
      </x:c>
      <x:c r="K5" s="19" t="str">
        <x:v>SB-A</x:v>
      </x:c>
      <x:c r="L5" s="17" t="str">
        <x:v>安全等级 SB-A：原包含需要删减或重写的网络、数据、自动决定或权限步骤；正式库只能收录明确列出改造要求的适配方案。</x:v>
      </x:c>
      <x:c r="M5" s="17" t="str">
        <x:v>MIT-0</x:v>
      </x:c>
      <x:c r="N5" s="17" t="str">
        <x:v>ClawHub 固定注册表版本</x:v>
      </x:c>
      <x:c r="O5" s="17" t="str">
        <x:v>daigxok</x:v>
      </x:c>
      <x:c r="P5" s="17" t="str">
        <x:v>clawhub.ai/daigxok/calculus-learning-analytics</x:v>
      </x:c>
      <x:c r="Q5" s="19" t="str">
        <x:v>1.0.0</x:v>
      </x:c>
      <x:c r="R5" s="19" t="str">
        <x:v>2026-08-09</x:v>
      </x:c>
      <x:c r="S5" s="17" t="str">
        <x:v>https://clawhub.ai/daigxok/skills/calculus-learning-analytics?version=1.0.0</x:v>
      </x:c>
    </x:row>
    <x:row r="6" ht="64" customHeight="1">
      <x:c r="A6" s="18" t="n">
        <x:v>2</x:v>
      </x:c>
      <x:c r="B6" s="18" t="str">
        <x:v>FD-06-0195</x:v>
      </x:c>
      <x:c r="C6" s="17" t="str">
        <x:v>civitas-learning</x:v>
      </x:c>
      <x:c r="D6" s="17" t="str">
        <x:v>06-08 考试评卷、成绩分析与学情诊断</x:v>
      </x:c>
      <x:c r="E6" s="17" t="str">
        <x:v>这个技能主要用于考试评卷、成绩分析与学情诊断。它可以帮助使用者梳理学习目标和能力要求、按标准检查作业并提出分数建议、分析成绩和学习过程数据、识别可能需要支持的学生群体。</x:v>
      </x:c>
      <x:c r="F6" s="17" t="str">
        <x:v>教师、助教、教学管理人员</x:v>
      </x:c>
      <x:c r="G6" s="17" t="str">
        <x:v>需要汇总评卷结果、分析成绩分布、发现学习薄弱点或识别需要支持的学生群体时</x:v>
      </x:c>
      <x:c r="H6" s="17" t="str">
        <x:v>去标识的答题结果、成绩表、题目知识点、班级信息和分析口径</x:v>
      </x:c>
      <x:c r="I6" s="17" t="str">
        <x:v>成绩统计、题目分析、学习薄弱点、群体差异和教学调整建议</x:v>
      </x:c>
      <x:c r="J6" s="19" t="str">
        <x:v>需要重新改造</x:v>
      </x:c>
      <x:c r="K6" s="19" t="str">
        <x:v>SB-A</x:v>
      </x:c>
      <x:c r="L6" s="17" t="str">
        <x:v>安全等级 SB-A：原包含需要删减或重写的网络、数据、自动决定或权限步骤；正式库只能收录明确列出改造要求的适配方案。</x:v>
      </x:c>
      <x:c r="M6" s="17" t="str">
        <x:v>MIT</x:v>
      </x:c>
      <x:c r="N6" s="17" t="str">
        <x:v>GitHub 固定提交版本</x:v>
      </x:c>
      <x:c r="O6" s="17" t="str">
        <x:v>iblai</x:v>
      </x:c>
      <x:c r="P6" s="17" t="str">
        <x:v>iblai/higher-education-agents</x:v>
      </x:c>
      <x:c r="Q6" s="19" t="str">
        <x:v>1a2d898bbd04ffd60498bb23a4aa14e3eb5f8a66</x:v>
      </x:c>
      <x:c r="R6" s="19" t="str">
        <x:v>2026-08-09</x:v>
      </x:c>
      <x:c r="S6" s="17" t="str">
        <x:v>https://github.com/iblai/higher-education-agents/blob/1a2d898bbd04ffd60498bb23a4aa14e3eb5f8a66/skills/civitas-learning/SKILL.md</x:v>
      </x:c>
    </x:row>
    <x:row r="7" ht="64" customHeight="1">
      <x:c r="A7" s="18" t="n">
        <x:v>3</x:v>
      </x:c>
      <x:c r="B7" s="18" t="str">
        <x:v>FD-06-0196</x:v>
      </x:c>
      <x:c r="C7" s="17" t="str">
        <x:v>cohort-analyst</x:v>
      </x:c>
      <x:c r="D7" s="17" t="str">
        <x:v>06-08 考试评卷、成绩分析与学情诊断</x:v>
      </x:c>
      <x:c r="E7" s="17" t="str">
        <x:v>这个技能主要用于考试评卷、成绩分析与学情诊断。它可以帮助使用者安排周次、课时和教学进度、生成练习题或测验题、按标准检查作业并提出分数建议、分析成绩和学习过程数据。</x:v>
      </x:c>
      <x:c r="F7" s="17" t="str">
        <x:v>教师、助教、教学管理人员</x:v>
      </x:c>
      <x:c r="G7" s="17" t="str">
        <x:v>需要汇总评卷结果、分析成绩分布、发现学习薄弱点或识别需要支持的学生群体时</x:v>
      </x:c>
      <x:c r="H7" s="17" t="str">
        <x:v>去标识的答题结果、成绩表、题目知识点、班级信息和分析口径</x:v>
      </x:c>
      <x:c r="I7" s="17" t="str">
        <x:v>成绩统计、题目分析、学习薄弱点、群体差异和教学调整建议</x:v>
      </x:c>
      <x:c r="J7" s="19" t="str">
        <x:v>需要重新改造</x:v>
      </x:c>
      <x:c r="K7" s="19" t="str">
        <x:v>SB-A</x:v>
      </x:c>
      <x:c r="L7" s="17" t="str">
        <x:v>安全等级 SB-A：原包含需要删减或重写的网络、数据、自动决定或权限步骤；正式库只能收录明确列出改造要求的适配方案。</x:v>
      </x:c>
      <x:c r="M7" s="17" t="str">
        <x:v>MIT</x:v>
      </x:c>
      <x:c r="N7" s="17" t="str">
        <x:v>GitHub 固定提交版本</x:v>
      </x:c>
      <x:c r="O7" s="17" t="str">
        <x:v>YujxZJCN</x:v>
      </x:c>
      <x:c r="P7" s="17" t="str">
        <x:v>YujxZJCN/teaching-skills</x:v>
      </x:c>
      <x:c r="Q7" s="19" t="str">
        <x:v>50258caf73fb0495adc725864fdf278a3072716c</x:v>
      </x:c>
      <x:c r="R7" s="19" t="str">
        <x:v>2026-08-09</x:v>
      </x:c>
      <x:c r="S7" s="17" t="str">
        <x:v>https://github.com/YujxZJCN/teaching-skills/blob/50258caf73fb0495adc725864fdf278a3072716c/cohort-analyst/SKILL.md</x:v>
      </x:c>
    </x:row>
    <x:row r="8" ht="64" customHeight="1">
      <x:c r="A8" s="18" t="n">
        <x:v>4</x:v>
      </x:c>
      <x:c r="B8" s="18" t="str">
        <x:v>FD-06-0197</x:v>
      </x:c>
      <x:c r="C8" s="17" t="str">
        <x:v>Confidence Calibration Check</x:v>
      </x:c>
      <x:c r="D8" s="17" t="str">
        <x:v>06-08 考试评卷、成绩分析与学情诊断</x:v>
      </x:c>
      <x:c r="E8" s="17" t="str">
        <x:v>这个技能主要用于考试评卷、成绩分析与学情诊断。它可以帮助使用者汇总和解释成绩、分析题目与知识点表现、发现学习薄弱点和支持需求。</x:v>
      </x:c>
      <x:c r="F8" s="17" t="str">
        <x:v>教师、助教、教学管理人员</x:v>
      </x:c>
      <x:c r="G8" s="17" t="str">
        <x:v>需要汇总评卷结果、分析成绩分布、发现学习薄弱点或识别需要支持的学生群体时</x:v>
      </x:c>
      <x:c r="H8" s="17" t="str">
        <x:v>去标识的答题结果、成绩表、题目知识点、班级信息和分析口径</x:v>
      </x:c>
      <x:c r="I8" s="17" t="str">
        <x:v>成绩统计、题目分析、学习薄弱点、群体差异和教学调整建议</x:v>
      </x:c>
      <x:c r="J8" s="19" t="str">
        <x:v>需要重新改造</x:v>
      </x:c>
      <x:c r="K8" s="19" t="str">
        <x:v>SB-A</x:v>
      </x:c>
      <x:c r="L8" s="17" t="str">
        <x:v>安全等级 SB-A：原包含需要删减或重写的网络、数据、自动决定或权限步骤；正式库只能收录明确列出改造要求的适配方案。</x:v>
      </x:c>
      <x:c r="M8" s="17" t="str">
        <x:v>CC-BY-SA-4.0</x:v>
      </x:c>
      <x:c r="N8" s="17" t="str">
        <x:v>GitHub 固定提交版本</x:v>
      </x:c>
      <x:c r="O8" s="17" t="str">
        <x:v>GarethManning</x:v>
      </x:c>
      <x:c r="P8" s="17" t="str">
        <x:v>GarethManning/education-agent-skills</x:v>
      </x:c>
      <x:c r="Q8" s="19" t="str">
        <x:v>34702c1c1465389192e760e5faa4476d234f9122</x:v>
      </x:c>
      <x:c r="R8" s="19" t="str">
        <x:v>2026-08-09</x:v>
      </x:c>
      <x:c r="S8" s="17" t="str">
        <x:v>https://github.com/GarethManning/education-agent-skills/blob/34702c1c1465389192e760e5faa4476d234f9122/skills/student-learning/confidence-calibration-check/SKILL.md</x:v>
      </x:c>
    </x:row>
    <x:row r="9" ht="64" customHeight="1">
      <x:c r="A9" s="18" t="n">
        <x:v>5</x:v>
      </x:c>
      <x:c r="B9" s="18" t="str">
        <x:v>FD-06-0198</x:v>
      </x:c>
      <x:c r="C9" s="17" t="str">
        <x:v>edm-learning-analytics</x:v>
      </x:c>
      <x:c r="D9" s="17" t="str">
        <x:v>06-08 考试评卷、成绩分析与学情诊断</x:v>
      </x:c>
      <x:c r="E9" s="17" t="str">
        <x:v>这个技能主要用于考试评卷、成绩分析与学情诊断。它可以帮助使用者分析成绩和学习过程数据、识别可能需要支持的学生群体、汇总和解释成绩、分析题目与知识点表现。</x:v>
      </x:c>
      <x:c r="F9" s="17" t="str">
        <x:v>教师、助教、教学管理人员</x:v>
      </x:c>
      <x:c r="G9" s="17" t="str">
        <x:v>需要汇总评卷结果、分析成绩分布、发现学习薄弱点或识别需要支持的学生群体时</x:v>
      </x:c>
      <x:c r="H9" s="17" t="str">
        <x:v>去标识的答题结果、成绩表、题目知识点、班级信息和分析口径</x:v>
      </x:c>
      <x:c r="I9" s="17" t="str">
        <x:v>成绩统计、题目分析、学习薄弱点、群体差异和教学调整建议</x:v>
      </x:c>
      <x:c r="J9" s="19" t="str">
        <x:v>需要重新改造</x:v>
      </x:c>
      <x:c r="K9" s="19" t="str">
        <x:v>SB-A</x:v>
      </x:c>
      <x:c r="L9" s="17" t="str">
        <x:v>安全等级 SB-A：原包含需要删减或重写的网络、数据、自动决定或权限步骤；正式库只能收录明确列出改造要求的适配方案。</x:v>
      </x:c>
      <x:c r="M9" s="17" t="str">
        <x:v>MIT</x:v>
      </x:c>
      <x:c r="N9" s="17" t="str">
        <x:v>GitHub 固定提交版本</x:v>
      </x:c>
      <x:c r="O9" s="17" t="str">
        <x:v>xjtulyc</x:v>
      </x:c>
      <x:c r="P9" s="17" t="str">
        <x:v>xjtulyc/awesome-rosetta-skills</x:v>
      </x:c>
      <x:c r="Q9" s="19" t="str">
        <x:v>6cffda43d7cd6c07c563e2f2e24a88a615bcf003</x:v>
      </x:c>
      <x:c r="R9" s="19" t="str">
        <x:v>2026-08-09</x:v>
      </x:c>
      <x:c r="S9" s="17" t="str">
        <x:v>https://github.com/xjtulyc/awesome-rosetta-skills/blob/6cffda43d7cd6c07c563e2f2e24a88a615bcf003/skills/20-education/edm-learning-analytics/SKILL.md</x:v>
      </x:c>
    </x:row>
    <x:row r="10" ht="64" customHeight="1">
      <x:c r="A10" s="18" t="n">
        <x:v>6</x:v>
      </x:c>
      <x:c r="B10" s="18" t="str">
        <x:v>FD-06-0199</x:v>
      </x:c>
      <x:c r="C10" s="17" t="str">
        <x:v>Error Analysis Protocol</x:v>
      </x:c>
      <x:c r="D10" s="17" t="str">
        <x:v>06-08 考试评卷、成绩分析与学情诊断</x:v>
      </x:c>
      <x:c r="E10" s="17" t="str">
        <x:v>这个技能主要用于考试评卷、成绩分析与学情诊断。它可以帮助使用者生成具体、可执行的学习反馈、诊断知识薄弱点和教学问题、汇总和解释成绩、分析题目与知识点表现。</x:v>
      </x:c>
      <x:c r="F10" s="17" t="str">
        <x:v>教师、助教、教学管理人员</x:v>
      </x:c>
      <x:c r="G10" s="17" t="str">
        <x:v>需要汇总评卷结果、分析成绩分布、发现学习薄弱点或识别需要支持的学生群体时</x:v>
      </x:c>
      <x:c r="H10" s="17" t="str">
        <x:v>去标识的答题结果、成绩表、题目知识点、班级信息和分析口径</x:v>
      </x:c>
      <x:c r="I10" s="17" t="str">
        <x:v>成绩统计、题目分析、学习薄弱点、群体差异和教学调整建议</x:v>
      </x:c>
      <x:c r="J10" s="19" t="str">
        <x:v>需要重新改造</x:v>
      </x:c>
      <x:c r="K10" s="19" t="str">
        <x:v>SB-A</x:v>
      </x:c>
      <x:c r="L10" s="17" t="str">
        <x:v>安全等级 SB-A：原包含需要删减或重写的网络、数据、自动决定或权限步骤；正式库只能收录明确列出改造要求的适配方案。</x:v>
      </x:c>
      <x:c r="M10" s="17" t="str">
        <x:v>CC-BY-SA-4.0</x:v>
      </x:c>
      <x:c r="N10" s="17" t="str">
        <x:v>GitHub 固定提交版本</x:v>
      </x:c>
      <x:c r="O10" s="17" t="str">
        <x:v>GarethManning</x:v>
      </x:c>
      <x:c r="P10" s="17" t="str">
        <x:v>GarethManning/education-agent-skills</x:v>
      </x:c>
      <x:c r="Q10" s="19" t="str">
        <x:v>34702c1c1465389192e760e5faa4476d234f9122</x:v>
      </x:c>
      <x:c r="R10" s="19" t="str">
        <x:v>2026-08-09</x:v>
      </x:c>
      <x:c r="S10" s="17" t="str">
        <x:v>https://github.com/GarethManning/education-agent-skills/blob/34702c1c1465389192e760e5faa4476d234f9122/skills/self-regulated-learning/error-analysis-protocol/SKILL.md</x:v>
      </x:c>
    </x:row>
    <x:row r="11" ht="64" customHeight="1">
      <x:c r="A11" s="18" t="n">
        <x:v>7</x:v>
      </x:c>
      <x:c r="B11" s="18" t="str">
        <x:v>FD-06-0200</x:v>
      </x:c>
      <x:c r="C11" s="17" t="str">
        <x:v>Gap Analysis from Student Work</x:v>
      </x:c>
      <x:c r="D11" s="17" t="str">
        <x:v>06-08 考试评卷、成绩分析与学情诊断</x:v>
      </x:c>
      <x:c r="E11" s="17" t="str">
        <x:v>这个技能主要用于考试评卷、成绩分析与学情诊断。它可以帮助使用者梳理学习目标和能力要求、发现内容覆盖不足和重复、生成具体、可执行的学习反馈、设计或使用评分量规。</x:v>
      </x:c>
      <x:c r="F11" s="17" t="str">
        <x:v>教师、助教、教学管理人员</x:v>
      </x:c>
      <x:c r="G11" s="17" t="str">
        <x:v>需要汇总评卷结果、分析成绩分布、发现学习薄弱点或识别需要支持的学生群体时</x:v>
      </x:c>
      <x:c r="H11" s="17" t="str">
        <x:v>去标识的答题结果、成绩表、题目知识点、班级信息和分析口径</x:v>
      </x:c>
      <x:c r="I11" s="17" t="str">
        <x:v>成绩统计、题目分析、学习薄弱点、群体差异和教学调整建议</x:v>
      </x:c>
      <x:c r="J11" s="19" t="str">
        <x:v>需要重新改造</x:v>
      </x:c>
      <x:c r="K11" s="19" t="str">
        <x:v>SB-A</x:v>
      </x:c>
      <x:c r="L11" s="17" t="str">
        <x:v>安全等级 SB-A：原包含需要删减或重写的网络、数据、自动决定或权限步骤；正式库只能收录明确列出改造要求的适配方案。</x:v>
      </x:c>
      <x:c r="M11" s="17" t="str">
        <x:v>CC-BY-SA-4.0</x:v>
      </x:c>
      <x:c r="N11" s="17" t="str">
        <x:v>GitHub 固定提交版本</x:v>
      </x:c>
      <x:c r="O11" s="17" t="str">
        <x:v>GarethManning</x:v>
      </x:c>
      <x:c r="P11" s="17" t="str">
        <x:v>GarethManning/education-agent-skills</x:v>
      </x:c>
      <x:c r="Q11" s="19" t="str">
        <x:v>34702c1c1465389192e760e5faa4476d234f9122</x:v>
      </x:c>
      <x:c r="R11" s="19" t="str">
        <x:v>2026-08-09</x:v>
      </x:c>
      <x:c r="S11" s="17" t="str">
        <x:v>https://github.com/GarethManning/education-agent-skills/blob/34702c1c1465389192e760e5faa4476d234f9122/skills/curriculum-assessment/gap-analysis-from-student-work/SKILL.md</x:v>
      </x:c>
    </x:row>
    <x:row r="12" ht="64" customHeight="1">
      <x:c r="A12" s="18" t="n">
        <x:v>8</x:v>
      </x:c>
      <x:c r="B12" s="18" t="str">
        <x:v>FD-06-0201</x:v>
      </x:c>
      <x:c r="C12" s="17" t="str">
        <x:v>Learning Analytics Interpretation Guide</x:v>
      </x:c>
      <x:c r="D12" s="17" t="str">
        <x:v>06-08 考试评卷、成绩分析与学情诊断</x:v>
      </x:c>
      <x:c r="E12" s="17" t="str">
        <x:v>这个技能主要用于考试评卷、成绩分析与学情诊断。它可以帮助使用者生成练习题或测验题、分析成绩和学习过程数据、汇总和解释成绩、分析题目与知识点表现。</x:v>
      </x:c>
      <x:c r="F12" s="17" t="str">
        <x:v>教师、助教、教学管理人员</x:v>
      </x:c>
      <x:c r="G12" s="17" t="str">
        <x:v>需要汇总评卷结果、分析成绩分布、发现学习薄弱点或识别需要支持的学生群体时</x:v>
      </x:c>
      <x:c r="H12" s="17" t="str">
        <x:v>去标识的答题结果、成绩表、题目知识点、班级信息和分析口径</x:v>
      </x:c>
      <x:c r="I12" s="17" t="str">
        <x:v>成绩统计、题目分析、学习薄弱点、群体差异和教学调整建议</x:v>
      </x:c>
      <x:c r="J12" s="19" t="str">
        <x:v>需要重新改造</x:v>
      </x:c>
      <x:c r="K12" s="19" t="str">
        <x:v>SB-A</x:v>
      </x:c>
      <x:c r="L12" s="17" t="str">
        <x:v>安全等级 SB-A：原包含需要删减或重写的网络、数据、自动决定或权限步骤；正式库只能收录明确列出改造要求的适配方案。</x:v>
      </x:c>
      <x:c r="M12" s="17" t="str">
        <x:v>CC-BY-SA-4.0</x:v>
      </x:c>
      <x:c r="N12" s="17" t="str">
        <x:v>GitHub 固定提交版本</x:v>
      </x:c>
      <x:c r="O12" s="17" t="str">
        <x:v>GarethManning</x:v>
      </x:c>
      <x:c r="P12" s="17" t="str">
        <x:v>GarethManning/education-agent-skills</x:v>
      </x:c>
      <x:c r="Q12" s="19" t="str">
        <x:v>34702c1c1465389192e760e5faa4476d234f9122</x:v>
      </x:c>
      <x:c r="R12" s="19" t="str">
        <x:v>2026-08-09</x:v>
      </x:c>
      <x:c r="S12" s="17" t="str">
        <x:v>https://github.com/GarethManning/education-agent-skills/blob/34702c1c1465389192e760e5faa4476d234f9122/skills/ai-learning-science/learning-analytics-interpretation-guide/SKILL.md</x:v>
      </x:c>
    </x:row>
    <x:row r="13" ht="64" customHeight="1">
      <x:c r="A13" s="18" t="n">
        <x:v>9</x:v>
      </x:c>
      <x:c r="B13" s="18" t="str">
        <x:v>FD-06-0202</x:v>
      </x:c>
      <x:c r="C13" s="17" t="str">
        <x:v>learning-analytics-interpretation</x:v>
      </x:c>
      <x:c r="D13" s="17" t="str">
        <x:v>06-08 考试评卷、成绩分析与学情诊断</x:v>
      </x:c>
      <x:c r="E13" s="17" t="str">
        <x:v>这个技能主要用于考试评卷、成绩分析与学情诊断。它可以帮助使用者分析成绩和学习过程数据、汇总和解释成绩、分析题目与知识点表现、发现学习薄弱点和支持需求。</x:v>
      </x:c>
      <x:c r="F13" s="17" t="str">
        <x:v>教师、助教、教学管理人员</x:v>
      </x:c>
      <x:c r="G13" s="17" t="str">
        <x:v>需要汇总评卷结果、分析成绩分布、发现学习薄弱点或识别需要支持的学生群体时</x:v>
      </x:c>
      <x:c r="H13" s="17" t="str">
        <x:v>去标识的答题结果、成绩表、题目知识点、班级信息和分析口径</x:v>
      </x:c>
      <x:c r="I13" s="17" t="str">
        <x:v>成绩统计、题目分析、学习薄弱点、群体差异和教学调整建议</x:v>
      </x:c>
      <x:c r="J13" s="19" t="str">
        <x:v>需要重新改造</x:v>
      </x:c>
      <x:c r="K13" s="19" t="str">
        <x:v>SB-A</x:v>
      </x:c>
      <x:c r="L13" s="17" t="str">
        <x:v>安全等级 SB-A：原包含需要删减或重写的网络、数据、自动决定或权限步骤；正式库只能收录明确列出改造要求的适配方案。</x:v>
      </x:c>
      <x:c r="M13" s="17" t="str">
        <x:v>MIT</x:v>
      </x:c>
      <x:c r="N13" s="17" t="str">
        <x:v>GitHub 固定提交版本</x:v>
      </x:c>
      <x:c r="O13" s="17" t="str">
        <x:v>a5c-ai</x:v>
      </x:c>
      <x:c r="P13" s="17" t="str">
        <x:v>a5c-ai/babysitter</x:v>
      </x:c>
      <x:c r="Q13" s="19" t="str">
        <x:v>ca6e2eaa04a61c528776b1480d6a1bd3896cc028</x:v>
      </x:c>
      <x:c r="R13" s="19" t="str">
        <x:v>2026-08-09</x:v>
      </x:c>
      <x:c r="S13" s="17" t="str">
        <x:v>https://github.com/a5c-ai/babysitter/blob/ca6e2eaa04a61c528776b1480d6a1bd3896cc028/library/specializations/domains/social-sciences-humanities/education/skills/learning-analytics-interpretation/SKILL.md</x:v>
      </x:c>
    </x:row>
    <x:row r="14" ht="64" customHeight="1">
      <x:c r="A14" s="18" t="n">
        <x:v>10</x:v>
      </x:c>
      <x:c r="B14" s="18" t="str">
        <x:v>FD-06-0203</x:v>
      </x:c>
      <x:c r="C14" s="17" t="str">
        <x:v>mooc-analytics-guide</x:v>
      </x:c>
      <x:c r="D14" s="17" t="str">
        <x:v>06-08 考试评卷、成绩分析与学情诊断</x:v>
      </x:c>
      <x:c r="E14" s="17" t="str">
        <x:v>这个技能主要用于考试评卷、成绩分析与学情诊断。它可以帮助使用者分析成绩和学习过程数据、汇总和解释成绩、分析题目与知识点表现、发现学习薄弱点和支持需求。</x:v>
      </x:c>
      <x:c r="F14" s="17" t="str">
        <x:v>教师、助教、教学管理人员</x:v>
      </x:c>
      <x:c r="G14" s="17" t="str">
        <x:v>需要汇总评卷结果、分析成绩分布、发现学习薄弱点或识别需要支持的学生群体时</x:v>
      </x:c>
      <x:c r="H14" s="17" t="str">
        <x:v>去标识的答题结果、成绩表、题目知识点、班级信息和分析口径</x:v>
      </x:c>
      <x:c r="I14" s="17" t="str">
        <x:v>成绩统计、题目分析、学习薄弱点、群体差异和教学调整建议</x:v>
      </x:c>
      <x:c r="J14" s="19" t="str">
        <x:v>需要重新改造</x:v>
      </x:c>
      <x:c r="K14" s="19" t="str">
        <x:v>SB-A</x:v>
      </x:c>
      <x:c r="L14" s="17" t="str">
        <x:v>安全等级 SB-A：原包含需要删减或重写的网络、数据、自动决定或权限步骤；正式库只能收录明确列出改造要求的适配方案。</x:v>
      </x:c>
      <x:c r="M14" s="17" t="str">
        <x:v>MIT</x:v>
      </x:c>
      <x:c r="N14" s="17" t="str">
        <x:v>GitHub 固定提交版本</x:v>
      </x:c>
      <x:c r="O14" s="17" t="str">
        <x:v>wentorai</x:v>
      </x:c>
      <x:c r="P14" s="17" t="str">
        <x:v>wentorai/research-plugins</x:v>
      </x:c>
      <x:c r="Q14" s="19" t="str">
        <x:v>bf44b3cd617fa94c8a1b254c5d1987142ca3d631</x:v>
      </x:c>
      <x:c r="R14" s="19" t="str">
        <x:v>2026-08-09</x:v>
      </x:c>
      <x:c r="S14" s="17" t="str">
        <x:v>https://github.com/wentorai/research-plugins/blob/bf44b3cd617fa94c8a1b254c5d1987142ca3d631/skills/domains/education/mooc-analytics-guide/SKILL.md</x:v>
      </x:c>
    </x:row>
    <x:row r="15" ht="64" customHeight="1">
      <x:c r="A15" s="18" t="n">
        <x:v>11</x:v>
      </x:c>
      <x:c r="B15" s="18" t="str">
        <x:v>FD-06-0204</x:v>
      </x:c>
      <x:c r="C15" s="17" t="str">
        <x:v>Weekly Agency Review</x:v>
      </x:c>
      <x:c r="D15" s="17" t="str">
        <x:v>06-08 考试评卷、成绩分析与学情诊断</x:v>
      </x:c>
      <x:c r="E15" s="17" t="str">
        <x:v>这个技能主要用于考试评卷、成绩分析与学情诊断。它可以帮助使用者安排周次、课时和教学进度、设计形成性练习和掌握度检查、汇总和解释成绩、分析题目与知识点表现。</x:v>
      </x:c>
      <x:c r="F15" s="17" t="str">
        <x:v>教师、助教、教学管理人员</x:v>
      </x:c>
      <x:c r="G15" s="17" t="str">
        <x:v>需要汇总评卷结果、分析成绩分布、发现学习薄弱点或识别需要支持的学生群体时</x:v>
      </x:c>
      <x:c r="H15" s="17" t="str">
        <x:v>去标识的答题结果、成绩表、题目知识点、班级信息和分析口径</x:v>
      </x:c>
      <x:c r="I15" s="17" t="str">
        <x:v>成绩统计、题目分析、学习薄弱点、群体差异和教学调整建议</x:v>
      </x:c>
      <x:c r="J15" s="19" t="str">
        <x:v>需要重新改造</x:v>
      </x:c>
      <x:c r="K15" s="19" t="str">
        <x:v>SB-A</x:v>
      </x:c>
      <x:c r="L15" s="17" t="str">
        <x:v>安全等级 SB-A：原包含需要删减或重写的网络、数据、自动决定或权限步骤；正式库只能收录明确列出改造要求的适配方案。</x:v>
      </x:c>
      <x:c r="M15" s="17" t="str">
        <x:v>CC-BY-SA-4.0</x:v>
      </x:c>
      <x:c r="N15" s="17" t="str">
        <x:v>GitHub 固定提交版本</x:v>
      </x:c>
      <x:c r="O15" s="17" t="str">
        <x:v>GarethManning</x:v>
      </x:c>
      <x:c r="P15" s="17" t="str">
        <x:v>GarethManning/education-agent-skills</x:v>
      </x:c>
      <x:c r="Q15" s="19" t="str">
        <x:v>34702c1c1465389192e760e5faa4476d234f9122</x:v>
      </x:c>
      <x:c r="R15" s="19" t="str">
        <x:v>2026-08-09</x:v>
      </x:c>
      <x:c r="S15" s="17" t="str">
        <x:v>https://github.com/GarethManning/education-agent-skills/blob/34702c1c1465389192e760e5faa4476d234f9122/skills/student-learning/weekly-agency-review/SKILL.md</x:v>
      </x:c>
    </x:row>
  </x:sheetData>
  <x:mergeCells>
    <x:mergeCell ref="A1:S1"/>
    <x:mergeCell ref="A2:S2"/>
  </x:mergeCells>
  <x:conditionalFormatting sqref="K5:K15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b53a755e6644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06-08 考试评卷、成绩分析与学情诊断｜分类统计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COUNTA('AI技能清单'!$B$5:$B$15)</x:f>
        <x:v>11</x:v>
      </x:c>
      <x:c r="D4" s="9" t="str">
        <x:v>06-08 考试评卷、成绩分析与学情诊断</x:v>
      </x:c>
      <x:c r="E4" s="9" t="n">
        <x:f>COUNTIF('AI技能清单'!$D$5:$D$15,D4)</x:f>
        <x:v>11</x:v>
      </x:c>
      <x:c r="G4" s="9" t="str">
        <x:v>ClawHub 固定注册表版本</x:v>
      </x:c>
      <x:c r="H4" s="9" t="n">
        <x:f>COUNTIF('AI技能清单'!$N$5:$N$15,G4)</x:f>
        <x:v>1</x:v>
      </x:c>
      <x:c r="J4" s="9" t="str">
        <x:v>CC-BY-SA-4.0</x:v>
      </x:c>
      <x:c r="K4" s="9" t="n">
        <x:f>COUNTIF('AI技能清单'!$M$5:$M$15,J4)</x:f>
        <x:v>5</x:v>
      </x:c>
    </x:row>
    <x:row r="5">
      <x:c r="A5" s="9" t="str">
        <x:v>安全等级 SA</x:v>
      </x:c>
      <x:c r="B5" s="9" t="n">
        <x:f>COUNTIF('AI技能清单'!$K$5:$K$15,"SA")</x:f>
        <x:v>0</x:v>
      </x:c>
      <x:c r="G5" s="9" t="str">
        <x:v>GitHub 固定提交版本</x:v>
      </x:c>
      <x:c r="H5" s="9" t="n">
        <x:f>COUNTIF('AI技能清单'!$N$5:$N$15,G5)</x:f>
        <x:v>10</x:v>
      </x:c>
      <x:c r="J5" s="9" t="str">
        <x:v>MIT</x:v>
      </x:c>
      <x:c r="K5" s="9" t="n">
        <x:f>COUNTIF('AI技能清单'!$M$5:$M$15,J5)</x:f>
        <x:v>5</x:v>
      </x:c>
    </x:row>
    <x:row r="6">
      <x:c r="A6" s="9" t="str">
        <x:v>安全等级 SB</x:v>
      </x:c>
      <x:c r="B6" s="9" t="n">
        <x:f>COUNTIF('AI技能清单'!$K$5:$K$15,"SB")</x:f>
        <x:v>0</x:v>
      </x:c>
      <x:c r="J6" s="9" t="str">
        <x:v>MIT-0</x:v>
      </x:c>
      <x:c r="K6" s="9" t="n">
        <x:f>COUNTIF('AI技能清单'!$M$5:$M$15,J6)</x:f>
        <x:v>1</x:v>
      </x:c>
    </x:row>
    <x:row r="7">
      <x:c r="A7" s="9" t="str">
        <x:v>安全等级 SB-A</x:v>
      </x:c>
      <x:c r="B7" s="9" t="n">
        <x:f>COUNTIF('AI技能清单'!$K$5:$K$15,"SB-A")</x:f>
        <x:v>11</x:v>
      </x:c>
    </x:row>
    <x:row r="8">
      <x:c r="A8" s="9" t="str">
        <x:v>可直接使用</x:v>
      </x:c>
      <x:c r="B8" s="9" t="n">
        <x:f>COUNTIF('AI技能清单'!$J$5:$J$15,"可直接使用")</x:f>
        <x:v>0</x:v>
      </x:c>
    </x:row>
    <x:row r="9">
      <x:c r="A9" s="9" t="str">
        <x:v>需要少量调整</x:v>
      </x:c>
      <x:c r="B9" s="9" t="n">
        <x:f>COUNTIF('AI技能清单'!$J$5:$J$15,"需要少量调整")</x:f>
        <x:v>0</x:v>
      </x:c>
    </x:row>
    <x:row r="10">
      <x:c r="A10" s="9" t="str">
        <x:v>需要重新改造</x:v>
      </x:c>
      <x:c r="B10" s="9" t="n">
        <x:f>COUNTIF('AI技能清单'!$J$5:$J$15,"需要重新改造")</x:f>
        <x:v>11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06-08 考试评卷、成绩分析与学情诊断｜公开来源清单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a5c-ai/babysitter</x:v>
      </x:c>
      <x:c r="B5" s="17" t="str">
        <x:v>GitHub 固定提交版本</x:v>
      </x:c>
      <x:c r="C5" s="17" t="str">
        <x:v>a5c-ai</x:v>
      </x:c>
      <x:c r="D5" s="17" t="str">
        <x:v>MIT</x:v>
      </x:c>
      <x:c r="E5" s="19" t="n">
        <x:v>1</x:v>
      </x:c>
      <x:c r="F5" s="19" t="n">
        <x:f>COUNTIF('AI技能清单'!$P$5:$P$15,A5)</x:f>
        <x:v>1</x:v>
      </x:c>
      <x:c r="G5" s="19" t="str">
        <x:v>SB-A</x:v>
      </x:c>
      <x:c r="H5" s="17" t="str">
        <x:v>https://github.com/a5c-ai/babysitter/blob/ca6e2eaa04a61c528776b1480d6a1bd3896cc028/library/specializations/domains/social-sciences-humanities/education/skills/learning-analytics-interpretation/SKILL.md</x:v>
      </x:c>
    </x:row>
    <x:row r="6">
      <x:c r="A6" s="17" t="str">
        <x:v>clawhub.ai/daigxok/calculus-learning-analytics</x:v>
      </x:c>
      <x:c r="B6" s="17" t="str">
        <x:v>ClawHub 固定注册表版本</x:v>
      </x:c>
      <x:c r="C6" s="17" t="str">
        <x:v>daigxok</x:v>
      </x:c>
      <x:c r="D6" s="17" t="str">
        <x:v>MIT-0</x:v>
      </x:c>
      <x:c r="E6" s="19" t="n">
        <x:v>1</x:v>
      </x:c>
      <x:c r="F6" s="19" t="n">
        <x:f>COUNTIF('AI技能清单'!$P$5:$P$15,A6)</x:f>
        <x:v>1</x:v>
      </x:c>
      <x:c r="G6" s="19" t="str">
        <x:v>SB-A</x:v>
      </x:c>
      <x:c r="H6" s="17" t="str">
        <x:v>https://clawhub.ai/daigxok/skills/calculus-learning-analytics?version=1.0.0</x:v>
      </x:c>
    </x:row>
    <x:row r="7">
      <x:c r="A7" s="17" t="str">
        <x:v>GarethManning/education-agent-skills</x:v>
      </x:c>
      <x:c r="B7" s="17" t="str">
        <x:v>GitHub 固定提交版本</x:v>
      </x:c>
      <x:c r="C7" s="17" t="str">
        <x:v>GarethManning</x:v>
      </x:c>
      <x:c r="D7" s="17" t="str">
        <x:v>CC-BY-SA-4.0</x:v>
      </x:c>
      <x:c r="E7" s="19" t="n">
        <x:v>1</x:v>
      </x:c>
      <x:c r="F7" s="19" t="n">
        <x:f>COUNTIF('AI技能清单'!$P$5:$P$15,A7)</x:f>
        <x:v>5</x:v>
      </x:c>
      <x:c r="G7" s="19" t="str">
        <x:v>SB-A</x:v>
      </x:c>
      <x:c r="H7" s="17" t="str">
        <x:v>https://github.com/GarethManning/education-agent-skills/blob/34702c1c1465389192e760e5faa4476d234f9122/skills/student-learning/confidence-calibration-check/SKILL.md</x:v>
      </x:c>
    </x:row>
    <x:row r="8">
      <x:c r="A8" s="17" t="str">
        <x:v>iblai/higher-education-agents</x:v>
      </x:c>
      <x:c r="B8" s="17" t="str">
        <x:v>GitHub 固定提交版本</x:v>
      </x:c>
      <x:c r="C8" s="17" t="str">
        <x:v>iblai</x:v>
      </x:c>
      <x:c r="D8" s="17" t="str">
        <x:v>MIT</x:v>
      </x:c>
      <x:c r="E8" s="19" t="n">
        <x:v>1</x:v>
      </x:c>
      <x:c r="F8" s="19" t="n">
        <x:f>COUNTIF('AI技能清单'!$P$5:$P$15,A8)</x:f>
        <x:v>1</x:v>
      </x:c>
      <x:c r="G8" s="19" t="str">
        <x:v>SB-A</x:v>
      </x:c>
      <x:c r="H8" s="17" t="str">
        <x:v>https://github.com/iblai/higher-education-agents/blob/1a2d898bbd04ffd60498bb23a4aa14e3eb5f8a66/skills/civitas-learning/SKILL.md</x:v>
      </x:c>
    </x:row>
    <x:row r="9">
      <x:c r="A9" s="17" t="str">
        <x:v>wentorai/research-plugins</x:v>
      </x:c>
      <x:c r="B9" s="17" t="str">
        <x:v>GitHub 固定提交版本</x:v>
      </x:c>
      <x:c r="C9" s="17" t="str">
        <x:v>wentorai</x:v>
      </x:c>
      <x:c r="D9" s="17" t="str">
        <x:v>MIT</x:v>
      </x:c>
      <x:c r="E9" s="19" t="n">
        <x:v>1</x:v>
      </x:c>
      <x:c r="F9" s="19" t="n">
        <x:f>COUNTIF('AI技能清单'!$P$5:$P$15,A9)</x:f>
        <x:v>1</x:v>
      </x:c>
      <x:c r="G9" s="19" t="str">
        <x:v>SB-A</x:v>
      </x:c>
      <x:c r="H9" s="17" t="str">
        <x:v>https://github.com/wentorai/research-plugins/blob/bf44b3cd617fa94c8a1b254c5d1987142ca3d631/skills/domains/education/mooc-analytics-guide/SKILL.md</x:v>
      </x:c>
    </x:row>
    <x:row r="10">
      <x:c r="A10" s="17" t="str">
        <x:v>xjtulyc/awesome-rosetta-skills</x:v>
      </x:c>
      <x:c r="B10" s="17" t="str">
        <x:v>GitHub 固定提交版本</x:v>
      </x:c>
      <x:c r="C10" s="17" t="str">
        <x:v>xjtulyc</x:v>
      </x:c>
      <x:c r="D10" s="17" t="str">
        <x:v>MIT</x:v>
      </x:c>
      <x:c r="E10" s="19" t="n">
        <x:v>1</x:v>
      </x:c>
      <x:c r="F10" s="19" t="n">
        <x:f>COUNTIF('AI技能清单'!$P$5:$P$15,A10)</x:f>
        <x:v>1</x:v>
      </x:c>
      <x:c r="G10" s="19" t="str">
        <x:v>SB-A</x:v>
      </x:c>
      <x:c r="H10" s="17" t="str">
        <x:v>https://github.com/xjtulyc/awesome-rosetta-skills/blob/6cffda43d7cd6c07c563e2f2e24a88a615bcf003/skills/20-education/edm-learning-analytics/SKILL.md</x:v>
      </x:c>
    </x:row>
    <x:row r="11">
      <x:c r="A11" s="17" t="str">
        <x:v>YujxZJCN/teaching-skills</x:v>
      </x:c>
      <x:c r="B11" s="17" t="str">
        <x:v>GitHub 固定提交版本</x:v>
      </x:c>
      <x:c r="C11" s="17" t="str">
        <x:v>YujxZJCN</x:v>
      </x:c>
      <x:c r="D11" s="17" t="str">
        <x:v>MIT</x:v>
      </x:c>
      <x:c r="E11" s="19" t="n">
        <x:v>1</x:v>
      </x:c>
      <x:c r="F11" s="19" t="n">
        <x:f>COUNTIF('AI技能清单'!$P$5:$P$15,A11)</x:f>
        <x:v>1</x:v>
      </x:c>
      <x:c r="G11" s="19" t="str">
        <x:v>SB-A</x:v>
      </x:c>
      <x:c r="H11" s="17" t="str">
        <x:v>https://github.com/YujxZJCN/teaching-skills/blob/50258caf73fb0495adc725864fdf278a3072716c/cohort-analyst/SKILL.md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b6b0214d1a34f6d"/>
  </x:tableParts>
</x:worksheet>
</file>