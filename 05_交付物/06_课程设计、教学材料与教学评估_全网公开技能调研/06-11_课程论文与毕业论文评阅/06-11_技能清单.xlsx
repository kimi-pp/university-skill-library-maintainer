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5325f920e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e44cec5d95045ff"/>
    <x:sheet xmlns:r="http://schemas.openxmlformats.org/officeDocument/2006/relationships" name="AI技能清单" sheetId="2" r:id="Re557a82503844060"/>
    <x:sheet xmlns:r="http://schemas.openxmlformats.org/officeDocument/2006/relationships" name="分类统计" sheetId="3" r:id="R8b48722cd3a94854"/>
    <x:sheet xmlns:r="http://schemas.openxmlformats.org/officeDocument/2006/relationships" name="来源清单" sheetId="4" r:id="Rbe0519855c39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5edded3e54c55" /><Relationship Type="http://schemas.openxmlformats.org/officeDocument/2006/relationships/theme" Target="/xl/theme/theme1.xml" Id="R83b20be514514340" /><Relationship Type="http://schemas.openxmlformats.org/officeDocument/2006/relationships/sharedStrings" Target="/xl/sharedStrings.xml" Id="R56185804a37349dd" /><Relationship Type="http://schemas.openxmlformats.org/officeDocument/2006/relationships/worksheet" Target="/xl/worksheets/sheet1.xml" Id="Rce44cec5d95045ff" /><Relationship Type="http://schemas.openxmlformats.org/officeDocument/2006/relationships/worksheet" Target="/xl/worksheets/sheet2.xml" Id="Re557a82503844060" /><Relationship Type="http://schemas.openxmlformats.org/officeDocument/2006/relationships/worksheet" Target="/xl/worksheets/sheet3.xml" Id="R8b48722cd3a94854" /><Relationship Type="http://schemas.openxmlformats.org/officeDocument/2006/relationships/worksheet" Target="/xl/worksheets/sheet4.xml" Id="Rbe0519855c394e1e" /></Relationships>
</file>

<file path=xl/tables/table1.xml><?xml version="1.0" encoding="utf-8"?>
<x:table xmlns:x="http://schemas.openxmlformats.org/spreadsheetml/2006/main" id="1" name="FD06Skills0611" displayName="FD06Skills0611" ref="A4:S9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11" displayName="FD06Sources0611" ref="A4:H9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2742182d774f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615e6d102314f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06-11 课程论文与毕业论文评阅｜使用说明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5</x:v>
      </x:c>
    </x:row>
    <x:row r="7">
      <x:c r="A7" s="11" t="str">
        <x:v>收录范围</x:v>
      </x:c>
      <x:c r="B7" s="12" t="str">
        <x:v>06-11 课程论文与毕业论文评阅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06-11 课程论文与毕业论文评阅｜正式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5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FD-06-0260</x:v>
      </x:c>
      <x:c r="C5" s="17" t="str">
        <x:v>academic-thesis-review</x:v>
      </x:c>
      <x:c r="D5" s="17" t="str">
        <x:v>06-11 课程论文与毕业论文评阅</x:v>
      </x:c>
      <x:c r="E5" s="17" t="str">
        <x:v>这个技能主要用于课程论文与毕业论文评阅。它可以帮助使用者评阅课程论文或学位论文、检查论文选题、方法和论证、评价创新、规范和完整性、形成结构化评阅意见。</x:v>
      </x:c>
      <x:c r="F5" s="17" t="str">
        <x:v>教师、导师、学位论文评审人员</x:v>
      </x:c>
      <x:c r="G5" s="17" t="str">
        <x:v>需要依据学校或专业标准评阅课程论文、毕业设计、硕士或博士学位论文时</x:v>
      </x:c>
      <x:c r="H5" s="17" t="str">
        <x:v>去标识的论文、评阅标准、学位层次、专业要求和学校模板</x:v>
      </x:c>
      <x:c r="I5" s="17" t="str">
        <x:v>结构化评阅意见、优点与不足、修改建议和供评审人确认的等级或分数建议</x:v>
      </x:c>
      <x:c r="J5" s="19" t="str">
        <x:v>需要重新改造</x:v>
      </x:c>
      <x:c r="K5" s="19" t="str">
        <x:v>SB-A</x:v>
      </x:c>
      <x:c r="L5" s="17" t="str">
        <x:v>安全等级 SB-A：原包含需要删减或重写的网络、数据、自动决定或权限步骤；正式库只能收录明确列出改造要求的适配方案。</x:v>
      </x:c>
      <x:c r="M5" s="17" t="str">
        <x:v>MIT</x:v>
      </x:c>
      <x:c r="N5" s="17" t="str">
        <x:v>GitHub 固定提交版本</x:v>
      </x:c>
      <x:c r="O5" s="17" t="str">
        <x:v>wmpluto</x:v>
      </x:c>
      <x:c r="P5" s="17" t="str">
        <x:v>wmpluto/academic-thesis-review-skill</x:v>
      </x:c>
      <x:c r="Q5" s="19" t="str">
        <x:v>16cbb4413fdecb0f3afefe08269d3d16f36e56f5</x:v>
      </x:c>
      <x:c r="R5" s="19" t="str">
        <x:v>2026-08-09</x:v>
      </x:c>
      <x:c r="S5" s="17" t="str">
        <x:v>https://github.com/wmpluto/academic-thesis-review-skill/blob/16cbb4413fdecb0f3afefe08269d3d16f36e56f5/SKILL.md</x:v>
      </x:c>
    </x:row>
    <x:row r="6" ht="64" customHeight="1">
      <x:c r="A6" s="18" t="n">
        <x:v>2</x:v>
      </x:c>
      <x:c r="B6" s="18" t="str">
        <x:v>FD-06-0261</x:v>
      </x:c>
      <x:c r="C6" s="17" t="str">
        <x:v>master-thesis-review</x:v>
      </x:c>
      <x:c r="D6" s="17" t="str">
        <x:v>06-11 课程论文与毕业论文评阅</x:v>
      </x:c>
      <x:c r="E6" s="17" t="str">
        <x:v>这个技能主要用于课程论文与毕业论文评阅。它可以帮助使用者检查课程或教学材料质量、评阅课程论文或学位论文、检查论文选题、方法和论证、评价创新、规范和完整性。</x:v>
      </x:c>
      <x:c r="F6" s="17" t="str">
        <x:v>教师、导师、学位论文评审人员</x:v>
      </x:c>
      <x:c r="G6" s="17" t="str">
        <x:v>需要依据学校或专业标准评阅课程论文、毕业设计、硕士或博士学位论文时</x:v>
      </x:c>
      <x:c r="H6" s="17" t="str">
        <x:v>去标识的论文、评阅标准、学位层次、专业要求和学校模板</x:v>
      </x:c>
      <x:c r="I6" s="17" t="str">
        <x:v>结构化评阅意见、优点与不足、修改建议和供评审人确认的等级或分数建议</x:v>
      </x:c>
      <x:c r="J6" s="19" t="str">
        <x:v>需要重新改造</x:v>
      </x:c>
      <x:c r="K6" s="19" t="str">
        <x:v>SB-A</x:v>
      </x:c>
      <x:c r="L6" s="17" t="str">
        <x:v>安全等级 SB-A：原包含需要删减或重写的网络、数据、自动决定或权限步骤；正式库只能收录明确列出改造要求的适配方案。</x:v>
      </x:c>
      <x:c r="M6" s="17" t="str">
        <x:v>CC-BY-SA-4.0</x:v>
      </x:c>
      <x:c r="N6" s="17" t="str">
        <x:v>GitHub 固定提交版本</x:v>
      </x:c>
      <x:c r="O6" s="17" t="str">
        <x:v>brycewang-stanford</x:v>
      </x:c>
      <x:c r="P6" s="17" t="str">
        <x:v>brycewang-stanford/Auto-Empirical-Research-Skills</x:v>
      </x:c>
      <x:c r="Q6" s="19" t="str">
        <x:v>595d8a62265e0636a1b8dd56a8eb01849835e62c</x:v>
      </x:c>
      <x:c r="R6" s="19" t="str">
        <x:v>2026-08-09</x:v>
      </x:c>
      <x:c r="S6" s="17" t="str">
        <x:v>https://github.com/brycewang-stanford/Auto-Empirical-Research-Skills/blob/595d8a62265e0636a1b8dd56a8eb01849835e62c/skills/67-econfin-workflow-toolkit/master-thesis-review/SKILL.md</x:v>
      </x:c>
    </x:row>
    <x:row r="7" ht="64" customHeight="1">
      <x:c r="A7" s="18" t="n">
        <x:v>3</x:v>
      </x:c>
      <x:c r="B7" s="18" t="str">
        <x:v>FD-06-0262</x:v>
      </x:c>
      <x:c r="C7" s="17" t="str">
        <x:v>Thesis Review（高校学位论文评审）</x:v>
      </x:c>
      <x:c r="D7" s="17" t="str">
        <x:v>06-11 课程论文与毕业论文评阅</x:v>
      </x:c>
      <x:c r="E7" s="17" t="str">
        <x:v>这个技能主要用于课程论文与毕业论文评阅。它可以帮助使用者评阅课程论文或学位论文、检查研究方法是否合适和完整、检查论文选题、方法和论证、评价创新、规范和完整性。</x:v>
      </x:c>
      <x:c r="F7" s="17" t="str">
        <x:v>教师、导师、学位论文评审人员</x:v>
      </x:c>
      <x:c r="G7" s="17" t="str">
        <x:v>需要依据学校或专业标准评阅课程论文、毕业设计、硕士或博士学位论文时</x:v>
      </x:c>
      <x:c r="H7" s="17" t="str">
        <x:v>去标识的论文、评阅标准、学位层次、专业要求和学校模板</x:v>
      </x:c>
      <x:c r="I7" s="17" t="str">
        <x:v>结构化评阅意见、优点与不足、修改建议和供评审人确认的等级或分数建议</x:v>
      </x:c>
      <x:c r="J7" s="19" t="str">
        <x:v>需要重新改造</x:v>
      </x:c>
      <x:c r="K7" s="19" t="str">
        <x:v>SB-A</x:v>
      </x:c>
      <x:c r="L7" s="17" t="str">
        <x:v>安全等级 SB-A：原包含需要删减或重写的网络、数据、自动决定或权限步骤；正式库只能收录明确列出改造要求的适配方案。</x:v>
      </x:c>
      <x:c r="M7" s="17" t="str">
        <x:v>MIT-0</x:v>
      </x:c>
      <x:c r="N7" s="17" t="str">
        <x:v>ClawHub 固定注册表版本</x:v>
      </x:c>
      <x:c r="O7" s="17" t="str">
        <x:v>paudyyin</x:v>
      </x:c>
      <x:c r="P7" s="17" t="str">
        <x:v>clawhub.ai/paudyyin/thesis-review</x:v>
      </x:c>
      <x:c r="Q7" s="19" t="str">
        <x:v>2.1.0</x:v>
      </x:c>
      <x:c r="R7" s="19" t="str">
        <x:v>2026-08-09</x:v>
      </x:c>
      <x:c r="S7" s="17" t="str">
        <x:v>https://clawhub.ai/paudyyin/skills/thesis-review?version=2.1.0</x:v>
      </x:c>
    </x:row>
    <x:row r="8" ht="64" customHeight="1">
      <x:c r="A8" s="18" t="n">
        <x:v>4</x:v>
      </x:c>
      <x:c r="B8" s="18" t="str">
        <x:v>FD-06-0263</x:v>
      </x:c>
      <x:c r="C8" s="17" t="str">
        <x:v>thesis-reviewer</x:v>
      </x:c>
      <x:c r="D8" s="17" t="str">
        <x:v>06-11 课程论文与毕业论文评阅</x:v>
      </x:c>
      <x:c r="E8" s="17" t="str">
        <x:v>这个技能主要用于课程论文与毕业论文评阅。它可以帮助使用者生成具体、可执行的学习反馈、检查课程或教学材料质量、评阅课程论文或学位论文、检查格式、引文和参考文献。</x:v>
      </x:c>
      <x:c r="F8" s="17" t="str">
        <x:v>教师、导师、学位论文评审人员</x:v>
      </x:c>
      <x:c r="G8" s="17" t="str">
        <x:v>需要依据学校或专业标准评阅课程论文、毕业设计、硕士或博士学位论文时</x:v>
      </x:c>
      <x:c r="H8" s="17" t="str">
        <x:v>去标识的论文、评阅标准、学位层次、专业要求和学校模板</x:v>
      </x:c>
      <x:c r="I8" s="17" t="str">
        <x:v>结构化评阅意见、优点与不足、修改建议和供评审人确认的等级或分数建议</x:v>
      </x:c>
      <x:c r="J8" s="19" t="str">
        <x:v>需要少量调整</x:v>
      </x:c>
      <x:c r="K8" s="19" t="str">
        <x:v>SB</x:v>
      </x:c>
      <x:c r="L8" s="17" t="str">
        <x:v>安全等级 SB：固定版本存在可识别的脚本、联网或受控文件操作；在限定目录、最小权限和人工确认下可作为候选采用。</x:v>
      </x:c>
      <x:c r="M8" s="17" t="str">
        <x:v>MIT</x:v>
      </x:c>
      <x:c r="N8" s="17" t="str">
        <x:v>GitHub 固定提交版本</x:v>
      </x:c>
      <x:c r="O8" s="17" t="str">
        <x:v>Agents365-ai</x:v>
      </x:c>
      <x:c r="P8" s="17" t="str">
        <x:v>Agents365-ai/thesis-reviewer</x:v>
      </x:c>
      <x:c r="Q8" s="19" t="str">
        <x:v>0e963756d0ee1cefb35662b45cc5abf51cfa63fb</x:v>
      </x:c>
      <x:c r="R8" s="19" t="str">
        <x:v>2026-08-09</x:v>
      </x:c>
      <x:c r="S8" s="17" t="str">
        <x:v>https://github.com/Agents365-ai/thesis-reviewer/blob/0e963756d0ee1cefb35662b45cc5abf51cfa63fb/SKILL.md</x:v>
      </x:c>
    </x:row>
    <x:row r="9" ht="64" customHeight="1">
      <x:c r="A9" s="18" t="n">
        <x:v>5</x:v>
      </x:c>
      <x:c r="B9" s="18" t="str">
        <x:v>FD-06-0264</x:v>
      </x:c>
      <x:c r="C9" s="17" t="str">
        <x:v>unified-thesis-reviewer</x:v>
      </x:c>
      <x:c r="D9" s="17" t="str">
        <x:v>06-11 课程论文与毕业论文评阅</x:v>
      </x:c>
      <x:c r="E9" s="17" t="str">
        <x:v>这个技能主要用于课程论文与毕业论文评阅。它可以帮助使用者准备阅读清单和阅读提示、设计教学案例、按标准检查作业并提出分数建议、评阅课程论文或学位论文。</x:v>
      </x:c>
      <x:c r="F9" s="17" t="str">
        <x:v>教师、导师、学位论文评审人员</x:v>
      </x:c>
      <x:c r="G9" s="17" t="str">
        <x:v>需要依据学校或专业标准评阅课程论文、毕业设计、硕士或博士学位论文时</x:v>
      </x:c>
      <x:c r="H9" s="17" t="str">
        <x:v>去标识的论文、评阅标准、学位层次、专业要求和学校模板</x:v>
      </x:c>
      <x:c r="I9" s="17" t="str">
        <x:v>结构化评阅意见、优点与不足、修改建议和供评审人确认的等级或分数建议</x:v>
      </x:c>
      <x:c r="J9" s="19" t="str">
        <x:v>需要重新改造</x:v>
      </x:c>
      <x:c r="K9" s="19" t="str">
        <x:v>SB-A</x:v>
      </x:c>
      <x:c r="L9" s="17" t="str">
        <x:v>安全等级 SB-A：原包含需要删减或重写的网络、数据、自动决定或权限步骤；正式库只能收录明确列出改造要求的适配方案。</x:v>
      </x:c>
      <x:c r="M9" s="17" t="str">
        <x:v>Apache-2.0</x:v>
      </x:c>
      <x:c r="N9" s="17" t="str">
        <x:v>GitHub 固定提交版本</x:v>
      </x:c>
      <x:c r="O9" s="17" t="str">
        <x:v>zyan421</x:v>
      </x:c>
      <x:c r="P9" s="17" t="str">
        <x:v>zyan421/unified-thesis-reviewer</x:v>
      </x:c>
      <x:c r="Q9" s="19" t="str">
        <x:v>f46522adc0801b02979db35d29c27f9f50cb4ddd</x:v>
      </x:c>
      <x:c r="R9" s="19" t="str">
        <x:v>2026-08-09</x:v>
      </x:c>
      <x:c r="S9" s="17" t="str">
        <x:v>https://github.com/zyan421/unified-thesis-reviewer/blob/f46522adc0801b02979db35d29c27f9f50cb4ddd/SKILL.md</x:v>
      </x:c>
    </x:row>
  </x:sheetData>
  <x:mergeCells>
    <x:mergeCell ref="A1:S1"/>
    <x:mergeCell ref="A2:S2"/>
  </x:mergeCells>
  <x:conditionalFormatting sqref="K5:K9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2742182d774f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06-11 课程论文与毕业论文评阅｜分类统计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COUNTA('AI技能清单'!$B$5:$B$9)</x:f>
        <x:v>5</x:v>
      </x:c>
      <x:c r="D4" s="9" t="str">
        <x:v>06-11 课程论文与毕业论文评阅</x:v>
      </x:c>
      <x:c r="E4" s="9" t="n">
        <x:f>COUNTIF('AI技能清单'!$D$5:$D$9,D4)</x:f>
        <x:v>5</x:v>
      </x:c>
      <x:c r="G4" s="9" t="str">
        <x:v>ClawHub 固定注册表版本</x:v>
      </x:c>
      <x:c r="H4" s="9" t="n">
        <x:f>COUNTIF('AI技能清单'!$N$5:$N$9,G4)</x:f>
        <x:v>1</x:v>
      </x:c>
      <x:c r="J4" s="9" t="str">
        <x:v>Apache-2.0</x:v>
      </x:c>
      <x:c r="K4" s="9" t="n">
        <x:f>COUNTIF('AI技能清单'!$M$5:$M$9,J4)</x:f>
        <x:v>1</x:v>
      </x:c>
    </x:row>
    <x:row r="5">
      <x:c r="A5" s="9" t="str">
        <x:v>安全等级 SA</x:v>
      </x:c>
      <x:c r="B5" s="9" t="n">
        <x:f>COUNTIF('AI技能清单'!$K$5:$K$9,"SA")</x:f>
        <x:v>0</x:v>
      </x:c>
      <x:c r="G5" s="9" t="str">
        <x:v>GitHub 固定提交版本</x:v>
      </x:c>
      <x:c r="H5" s="9" t="n">
        <x:f>COUNTIF('AI技能清单'!$N$5:$N$9,G5)</x:f>
        <x:v>4</x:v>
      </x:c>
      <x:c r="J5" s="9" t="str">
        <x:v>CC-BY-SA-4.0</x:v>
      </x:c>
      <x:c r="K5" s="9" t="n">
        <x:f>COUNTIF('AI技能清单'!$M$5:$M$9,J5)</x:f>
        <x:v>1</x:v>
      </x:c>
    </x:row>
    <x:row r="6">
      <x:c r="A6" s="9" t="str">
        <x:v>安全等级 SB</x:v>
      </x:c>
      <x:c r="B6" s="9" t="n">
        <x:f>COUNTIF('AI技能清单'!$K$5:$K$9,"SB")</x:f>
        <x:v>1</x:v>
      </x:c>
      <x:c r="J6" s="9" t="str">
        <x:v>MIT</x:v>
      </x:c>
      <x:c r="K6" s="9" t="n">
        <x:f>COUNTIF('AI技能清单'!$M$5:$M$9,J6)</x:f>
        <x:v>2</x:v>
      </x:c>
    </x:row>
    <x:row r="7">
      <x:c r="A7" s="9" t="str">
        <x:v>安全等级 SB-A</x:v>
      </x:c>
      <x:c r="B7" s="9" t="n">
        <x:f>COUNTIF('AI技能清单'!$K$5:$K$9,"SB-A")</x:f>
        <x:v>4</x:v>
      </x:c>
      <x:c r="J7" s="9" t="str">
        <x:v>MIT-0</x:v>
      </x:c>
      <x:c r="K7" s="9" t="n">
        <x:f>COUNTIF('AI技能清单'!$M$5:$M$9,J7)</x:f>
        <x:v>1</x:v>
      </x:c>
    </x:row>
    <x:row r="8">
      <x:c r="A8" s="9" t="str">
        <x:v>可直接使用</x:v>
      </x:c>
      <x:c r="B8" s="9" t="n">
        <x:f>COUNTIF('AI技能清单'!$J$5:$J$9,"可直接使用")</x:f>
        <x:v>0</x:v>
      </x:c>
    </x:row>
    <x:row r="9">
      <x:c r="A9" s="9" t="str">
        <x:v>需要少量调整</x:v>
      </x:c>
      <x:c r="B9" s="9" t="n">
        <x:f>COUNTIF('AI技能清单'!$J$5:$J$9,"需要少量调整")</x:f>
        <x:v>1</x:v>
      </x:c>
    </x:row>
    <x:row r="10">
      <x:c r="A10" s="9" t="str">
        <x:v>需要重新改造</x:v>
      </x:c>
      <x:c r="B10" s="9" t="n">
        <x:f>COUNTIF('AI技能清单'!$J$5:$J$9,"需要重新改造")</x:f>
        <x:v>4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06-11 课程论文与毕业论文评阅｜公开来源清单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Agents365-ai/thesis-reviewer</x:v>
      </x:c>
      <x:c r="B5" s="17" t="str">
        <x:v>GitHub 固定提交版本</x:v>
      </x:c>
      <x:c r="C5" s="17" t="str">
        <x:v>Agents365-ai</x:v>
      </x:c>
      <x:c r="D5" s="17" t="str">
        <x:v>MIT</x:v>
      </x:c>
      <x:c r="E5" s="19" t="n">
        <x:v>1</x:v>
      </x:c>
      <x:c r="F5" s="19" t="n">
        <x:f>COUNTIF('AI技能清单'!$P$5:$P$9,A5)</x:f>
        <x:v>1</x:v>
      </x:c>
      <x:c r="G5" s="19" t="str">
        <x:v>SB</x:v>
      </x:c>
      <x:c r="H5" s="17" t="str">
        <x:v>https://github.com/Agents365-ai/thesis-reviewer/blob/0e963756d0ee1cefb35662b45cc5abf51cfa63fb/SKILL.md</x:v>
      </x:c>
    </x:row>
    <x:row r="6">
      <x:c r="A6" s="17" t="str">
        <x:v>brycewang-stanford/Auto-Empirical-Research-Skills</x:v>
      </x:c>
      <x:c r="B6" s="17" t="str">
        <x:v>GitHub 固定提交版本</x:v>
      </x:c>
      <x:c r="C6" s="17" t="str">
        <x:v>brycewang-stanford</x:v>
      </x:c>
      <x:c r="D6" s="17" t="str">
        <x:v>CC-BY-SA-4.0</x:v>
      </x:c>
      <x:c r="E6" s="19" t="n">
        <x:v>1</x:v>
      </x:c>
      <x:c r="F6" s="19" t="n">
        <x:f>COUNTIF('AI技能清单'!$P$5:$P$9,A6)</x:f>
        <x:v>1</x:v>
      </x:c>
      <x:c r="G6" s="19" t="str">
        <x:v>SB-A</x:v>
      </x:c>
      <x:c r="H6" s="17" t="str">
        <x:v>https://github.com/brycewang-stanford/Auto-Empirical-Research-Skills/blob/595d8a62265e0636a1b8dd56a8eb01849835e62c/skills/67-econfin-workflow-toolkit/master-thesis-review/SKILL.md</x:v>
      </x:c>
    </x:row>
    <x:row r="7">
      <x:c r="A7" s="17" t="str">
        <x:v>clawhub.ai/paudyyin/thesis-review</x:v>
      </x:c>
      <x:c r="B7" s="17" t="str">
        <x:v>ClawHub 固定注册表版本</x:v>
      </x:c>
      <x:c r="C7" s="17" t="str">
        <x:v>paudyyin</x:v>
      </x:c>
      <x:c r="D7" s="17" t="str">
        <x:v>MIT-0</x:v>
      </x:c>
      <x:c r="E7" s="19" t="n">
        <x:v>1</x:v>
      </x:c>
      <x:c r="F7" s="19" t="n">
        <x:f>COUNTIF('AI技能清单'!$P$5:$P$9,A7)</x:f>
        <x:v>1</x:v>
      </x:c>
      <x:c r="G7" s="19" t="str">
        <x:v>SB-A</x:v>
      </x:c>
      <x:c r="H7" s="17" t="str">
        <x:v>https://clawhub.ai/paudyyin/skills/thesis-review?version=2.1.0</x:v>
      </x:c>
    </x:row>
    <x:row r="8">
      <x:c r="A8" s="17" t="str">
        <x:v>wmpluto/academic-thesis-review-skill</x:v>
      </x:c>
      <x:c r="B8" s="17" t="str">
        <x:v>GitHub 固定提交版本</x:v>
      </x:c>
      <x:c r="C8" s="17" t="str">
        <x:v>wmpluto</x:v>
      </x:c>
      <x:c r="D8" s="17" t="str">
        <x:v>MIT</x:v>
      </x:c>
      <x:c r="E8" s="19" t="n">
        <x:v>1</x:v>
      </x:c>
      <x:c r="F8" s="19" t="n">
        <x:f>COUNTIF('AI技能清单'!$P$5:$P$9,A8)</x:f>
        <x:v>1</x:v>
      </x:c>
      <x:c r="G8" s="19" t="str">
        <x:v>SB-A</x:v>
      </x:c>
      <x:c r="H8" s="17" t="str">
        <x:v>https://github.com/wmpluto/academic-thesis-review-skill/blob/16cbb4413fdecb0f3afefe08269d3d16f36e56f5/SKILL.md</x:v>
      </x:c>
    </x:row>
    <x:row r="9">
      <x:c r="A9" s="17" t="str">
        <x:v>zyan421/unified-thesis-reviewer</x:v>
      </x:c>
      <x:c r="B9" s="17" t="str">
        <x:v>GitHub 固定提交版本</x:v>
      </x:c>
      <x:c r="C9" s="17" t="str">
        <x:v>zyan421</x:v>
      </x:c>
      <x:c r="D9" s="17" t="str">
        <x:v>Apache-2.0</x:v>
      </x:c>
      <x:c r="E9" s="19" t="n">
        <x:v>1</x:v>
      </x:c>
      <x:c r="F9" s="19" t="n">
        <x:f>COUNTIF('AI技能清单'!$P$5:$P$9,A9)</x:f>
        <x:v>1</x:v>
      </x:c>
      <x:c r="G9" s="19" t="str">
        <x:v>SB-A</x:v>
      </x:c>
      <x:c r="H9" s="17" t="str">
        <x:v>https://github.com/zyan421/unified-thesis-reviewer/blob/f46522adc0801b02979db35d29c27f9f50cb4ddd/SKILL.md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615e6d102314f5a"/>
  </x:tableParts>
</x:worksheet>
</file>