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69f5b1144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ec03328608a4075"/>
    <x:sheet xmlns:r="http://schemas.openxmlformats.org/officeDocument/2006/relationships" name="AI技能清单" sheetId="2" r:id="Rbf24adf3673a4685"/>
    <x:sheet xmlns:r="http://schemas.openxmlformats.org/officeDocument/2006/relationships" name="分类统计" sheetId="3" r:id="R7aa7737c924f40ea"/>
    <x:sheet xmlns:r="http://schemas.openxmlformats.org/officeDocument/2006/relationships" name="来源清单" sheetId="4" r:id="R6c51df6ba158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24b1fe66e4414" /><Relationship Type="http://schemas.openxmlformats.org/officeDocument/2006/relationships/theme" Target="/xl/theme/theme1.xml" Id="Reec4e458b6e6491c" /><Relationship Type="http://schemas.openxmlformats.org/officeDocument/2006/relationships/sharedStrings" Target="/xl/sharedStrings.xml" Id="R1bc55016ade64a7c" /><Relationship Type="http://schemas.openxmlformats.org/officeDocument/2006/relationships/worksheet" Target="/xl/worksheets/sheet1.xml" Id="R5ec03328608a4075" /><Relationship Type="http://schemas.openxmlformats.org/officeDocument/2006/relationships/worksheet" Target="/xl/worksheets/sheet2.xml" Id="Rbf24adf3673a4685" /><Relationship Type="http://schemas.openxmlformats.org/officeDocument/2006/relationships/worksheet" Target="/xl/worksheets/sheet3.xml" Id="R7aa7737c924f40ea" /><Relationship Type="http://schemas.openxmlformats.org/officeDocument/2006/relationships/worksheet" Target="/xl/worksheets/sheet4.xml" Id="R6c51df6ba1584f38" /></Relationships>
</file>

<file path=xl/tables/table1.xml><?xml version="1.0" encoding="utf-8"?>
<x:table xmlns:x="http://schemas.openxmlformats.org/spreadsheetml/2006/main" id="1" name="FD06Skills0602" displayName="FD06Skills0602" ref="A4:S23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02" displayName="FD06Sources0602" ref="A4:H12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33793fc3114f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d8dc0bd573942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06-02 教学大纲、教案与课时规划｜使用说明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19</x:v>
      </x:c>
    </x:row>
    <x:row r="7">
      <x:c r="A7" s="11" t="str">
        <x:v>收录范围</x:v>
      </x:c>
      <x:c r="B7" s="12" t="str">
        <x:v>06-02 教学大纲、教案与课时规划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06-02 教学大纲、教案与课时规划｜正式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19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FD-06-0036</x:v>
      </x:c>
      <x:c r="C5" s="17" t="str">
        <x:v>alterlab-syllabus-ai-policy</x:v>
      </x:c>
      <x:c r="D5" s="17" t="str">
        <x:v>06-02 教学大纲、教案与课时规划</x:v>
      </x:c>
      <x:c r="E5" s="17" t="str">
        <x:v>这个技能主要用于教学大纲、教案与课时规划。它可以帮助使用者检查目标、活动与评价是否相互支持、编写或检查教学大纲、设计实验或实践步骤、按标准检查作业并提出分数建议。</x:v>
      </x:c>
      <x:c r="F5" s="17" t="str">
        <x:v>教师、助教、课程负责人</x:v>
      </x:c>
      <x:c r="G5" s="17" t="str">
        <x:v>需要把课程目标细化为教学大纲、教案、单元安排或逐周课时计划时</x:v>
      </x:c>
      <x:c r="H5" s="17" t="str">
        <x:v>课程目标、教学周数、学生层次、授课方式和学校模板</x:v>
      </x:c>
      <x:c r="I5" s="17" t="str">
        <x:v>教学大纲、教案、周计划、课时安排和教学进度表</x:v>
      </x:c>
      <x:c r="J5" s="19" t="str">
        <x:v>需要少量调整</x:v>
      </x:c>
      <x:c r="K5" s="19" t="str">
        <x:v>SB</x:v>
      </x:c>
      <x:c r="L5" s="17" t="str">
        <x:v>安全等级 SB：固定版本存在可识别的脚本、联网或受控文件操作；在限定目录、最小权限和人工确认下可作为候选采用。</x:v>
      </x:c>
      <x:c r="M5" s="17" t="str">
        <x:v>MIT</x:v>
      </x:c>
      <x:c r="N5" s="17" t="str">
        <x:v>GitHub 固定提交版本</x:v>
      </x:c>
      <x:c r="O5" s="17" t="str">
        <x:v>AlterLab-IEU</x:v>
      </x:c>
      <x:c r="P5" s="17" t="str">
        <x:v>AlterLab-IEU/AlterLab-Academic-Skills</x:v>
      </x:c>
      <x:c r="Q5" s="19" t="str">
        <x:v>a0064fd54180541785cd1986ad8eb1689b834270</x:v>
      </x:c>
      <x:c r="R5" s="19" t="str">
        <x:v>2026-08-09</x:v>
      </x:c>
      <x:c r="S5" s="17" t="str">
        <x:v>https://github.com/AlterLab-IEU/AlterLab-Academic-Skills/blob/a0064fd54180541785cd1986ad8eb1689b834270/skills/faculty-life/alterlab-syllabus-ai-policy/SKILL.md</x:v>
      </x:c>
    </x:row>
    <x:row r="6" ht="64" customHeight="1">
      <x:c r="A6" s="18" t="n">
        <x:v>2</x:v>
      </x:c>
      <x:c r="B6" s="18" t="str">
        <x:v>FD-06-0037</x:v>
      </x:c>
      <x:c r="C6" s="17" t="str">
        <x:v>Disciplinary AI Literacy Sequence Designer</x:v>
      </x:c>
      <x:c r="D6" s="17" t="str">
        <x:v>06-02 教学大纲、教案与课时规划</x:v>
      </x:c>
      <x:c r="E6" s="17" t="str">
        <x:v>这个技能主要用于教学大纲、教案与课时规划。它可以帮助使用者生成练习题或测验题、编写教学大纲、安排单元与课时、检查目标、活动和评价是否一致。</x:v>
      </x:c>
      <x:c r="F6" s="17" t="str">
        <x:v>教师、助教、课程负责人</x:v>
      </x:c>
      <x:c r="G6" s="17" t="str">
        <x:v>需要把课程目标细化为教学大纲、教案、单元安排或逐周课时计划时</x:v>
      </x:c>
      <x:c r="H6" s="17" t="str">
        <x:v>课程目标、教学周数、学生层次、授课方式和学校模板</x:v>
      </x:c>
      <x:c r="I6" s="17" t="str">
        <x:v>教学大纲、教案、周计划、课时安排和教学进度表</x:v>
      </x:c>
      <x:c r="J6" s="19" t="str">
        <x:v>可直接使用</x:v>
      </x:c>
      <x:c r="K6" s="19" t="str">
        <x:v>SA</x:v>
      </x:c>
      <x:c r="L6" s="17" t="str">
        <x:v>安全等级 SA：固定版本主要由说明、清单或模板组成，静态检查未发现账号、外部写回或可执行载荷方面的阻断性问题。</x:v>
      </x:c>
      <x:c r="M6" s="17" t="str">
        <x:v>CC-BY-SA-4.0</x:v>
      </x:c>
      <x:c r="N6" s="17" t="str">
        <x:v>GitHub 固定提交版本</x:v>
      </x:c>
      <x:c r="O6" s="17" t="str">
        <x:v>GarethManning</x:v>
      </x:c>
      <x:c r="P6" s="17" t="str">
        <x:v>GarethManning/education-agent-skills</x:v>
      </x:c>
      <x:c r="Q6" s="19" t="str">
        <x:v>34702c1c1465389192e760e5faa4476d234f9122</x:v>
      </x:c>
      <x:c r="R6" s="19" t="str">
        <x:v>2026-08-09</x:v>
      </x:c>
      <x:c r="S6" s="17" t="str">
        <x:v>https://github.com/GarethManning/education-agent-skills/blob/34702c1c1465389192e760e5faa4476d234f9122/skills/ai-literacy/disciplinary-ai-literacy-sequence-designer/SKILL.md</x:v>
      </x:c>
    </x:row>
    <x:row r="7" ht="64" customHeight="1">
      <x:c r="A7" s="18" t="n">
        <x:v>3</x:v>
      </x:c>
      <x:c r="B7" s="18" t="str">
        <x:v>FD-06-0038</x:v>
      </x:c>
      <x:c r="C7" s="17" t="str">
        <x:v>Document-Based Lesson Designer</x:v>
      </x:c>
      <x:c r="D7" s="17" t="str">
        <x:v>06-02 教学大纲、教案与课时规划</x:v>
      </x:c>
      <x:c r="E7" s="17" t="str">
        <x:v>这个技能主要用于教学大纲、教案与课时规划。它可以帮助使用者准备阅读清单和阅读提示、整理讲义、教材或学习指南、编写教学大纲、安排单元与课时。</x:v>
      </x:c>
      <x:c r="F7" s="17" t="str">
        <x:v>教师、助教、课程负责人</x:v>
      </x:c>
      <x:c r="G7" s="17" t="str">
        <x:v>需要把课程目标细化为教学大纲、教案、单元安排或逐周课时计划时</x:v>
      </x:c>
      <x:c r="H7" s="17" t="str">
        <x:v>课程目标、教学周数、学生层次、授课方式和学校模板</x:v>
      </x:c>
      <x:c r="I7" s="17" t="str">
        <x:v>教学大纲、教案、周计划、课时安排和教学进度表</x:v>
      </x:c>
      <x:c r="J7" s="19" t="str">
        <x:v>可直接使用</x:v>
      </x:c>
      <x:c r="K7" s="19" t="str">
        <x:v>SA</x:v>
      </x:c>
      <x:c r="L7" s="17" t="str">
        <x:v>安全等级 SA：固定版本主要由说明、清单或模板组成，静态检查未发现账号、外部写回或可执行载荷方面的阻断性问题。</x:v>
      </x:c>
      <x:c r="M7" s="17" t="str">
        <x:v>CC-BY-SA-4.0</x:v>
      </x:c>
      <x:c r="N7" s="17" t="str">
        <x:v>GitHub 固定提交版本</x:v>
      </x:c>
      <x:c r="O7" s="17" t="str">
        <x:v>GarethManning</x:v>
      </x:c>
      <x:c r="P7" s="17" t="str">
        <x:v>GarethManning/education-agent-skills</x:v>
      </x:c>
      <x:c r="Q7" s="19" t="str">
        <x:v>34702c1c1465389192e760e5faa4476d234f9122</x:v>
      </x:c>
      <x:c r="R7" s="19" t="str">
        <x:v>2026-08-09</x:v>
      </x:c>
      <x:c r="S7" s="17" t="str">
        <x:v>https://github.com/GarethManning/education-agent-skills/blob/34702c1c1465389192e760e5faa4476d234f9122/skills/historical-thinking/document-based-lesson-designer/SKILL.md</x:v>
      </x:c>
    </x:row>
    <x:row r="8" ht="64" customHeight="1">
      <x:c r="A8" s="18" t="n">
        <x:v>4</x:v>
      </x:c>
      <x:c r="B8" s="18" t="str">
        <x:v>FD-06-0039</x:v>
      </x:c>
      <x:c r="C8" s="17" t="str">
        <x:v>Explicit Instruction Sequence Builder (I Do / We Do / You Do)</x:v>
      </x:c>
      <x:c r="D8" s="17" t="str">
        <x:v>06-02 教学大纲、教案与课时规划</x:v>
      </x:c>
      <x:c r="E8" s="17" t="str">
        <x:v>这个技能主要用于教学大纲、教案与课时规划。它可以帮助使用者编写教学大纲、安排单元与课时、检查目标、活动和评价是否一致。</x:v>
      </x:c>
      <x:c r="F8" s="17" t="str">
        <x:v>教师、助教、课程负责人</x:v>
      </x:c>
      <x:c r="G8" s="17" t="str">
        <x:v>需要把课程目标细化为教学大纲、教案、单元安排或逐周课时计划时</x:v>
      </x:c>
      <x:c r="H8" s="17" t="str">
        <x:v>课程目标、教学周数、学生层次、授课方式和学校模板</x:v>
      </x:c>
      <x:c r="I8" s="17" t="str">
        <x:v>教学大纲、教案、周计划、课时安排和教学进度表</x:v>
      </x:c>
      <x:c r="J8" s="19" t="str">
        <x:v>可直接使用</x:v>
      </x:c>
      <x:c r="K8" s="19" t="str">
        <x:v>SA</x:v>
      </x:c>
      <x:c r="L8" s="17" t="str">
        <x:v>安全等级 SA：固定版本主要由说明、清单或模板组成，静态检查未发现账号、外部写回或可执行载荷方面的阻断性问题。</x:v>
      </x:c>
      <x:c r="M8" s="17" t="str">
        <x:v>CC-BY-SA-4.0</x:v>
      </x:c>
      <x:c r="N8" s="17" t="str">
        <x:v>GitHub 固定提交版本</x:v>
      </x:c>
      <x:c r="O8" s="17" t="str">
        <x:v>GarethManning</x:v>
      </x:c>
      <x:c r="P8" s="17" t="str">
        <x:v>GarethManning/education-agent-skills</x:v>
      </x:c>
      <x:c r="Q8" s="19" t="str">
        <x:v>34702c1c1465389192e760e5faa4476d234f9122</x:v>
      </x:c>
      <x:c r="R8" s="19" t="str">
        <x:v>2026-08-09</x:v>
      </x:c>
      <x:c r="S8" s="17" t="str">
        <x:v>https://github.com/GarethManning/education-agent-skills/blob/34702c1c1465389192e760e5faa4476d234f9122/skills/explicit-instruction/explicit-instruction-sequence-builder/SKILL.md</x:v>
      </x:c>
    </x:row>
    <x:row r="9" ht="64" customHeight="1">
      <x:c r="A9" s="18" t="n">
        <x:v>5</x:v>
      </x:c>
      <x:c r="B9" s="18" t="str">
        <x:v>FD-06-0040</x:v>
      </x:c>
      <x:c r="C9" s="17" t="str">
        <x:v>Interleaving Unit Planner</x:v>
      </x:c>
      <x:c r="D9" s="17" t="str">
        <x:v>06-02 教学大纲、教案与课时规划</x:v>
      </x:c>
      <x:c r="E9" s="17" t="str">
        <x:v>这个技能主要用于教学大纲、教案与课时规划。它可以帮助使用者编写教案和单元计划、安排周次、课时和教学进度、编写教学大纲、安排单元与课时。</x:v>
      </x:c>
      <x:c r="F9" s="17" t="str">
        <x:v>教师、助教、课程负责人</x:v>
      </x:c>
      <x:c r="G9" s="17" t="str">
        <x:v>需要把课程目标细化为教学大纲、教案、单元安排或逐周课时计划时</x:v>
      </x:c>
      <x:c r="H9" s="17" t="str">
        <x:v>课程目标、教学周数、学生层次、授课方式和学校模板</x:v>
      </x:c>
      <x:c r="I9" s="17" t="str">
        <x:v>教学大纲、教案、周计划、课时安排和教学进度表</x:v>
      </x:c>
      <x:c r="J9" s="19" t="str">
        <x:v>可直接使用</x:v>
      </x:c>
      <x:c r="K9" s="19" t="str">
        <x:v>SA</x:v>
      </x:c>
      <x:c r="L9" s="17" t="str">
        <x:v>安全等级 SA：固定版本主要由说明、清单或模板组成，静态检查未发现账号、外部写回或可执行载荷方面的阻断性问题。</x:v>
      </x:c>
      <x:c r="M9" s="17" t="str">
        <x:v>CC-BY-SA-4.0</x:v>
      </x:c>
      <x:c r="N9" s="17" t="str">
        <x:v>GitHub 固定提交版本</x:v>
      </x:c>
      <x:c r="O9" s="17" t="str">
        <x:v>GarethManning</x:v>
      </x:c>
      <x:c r="P9" s="17" t="str">
        <x:v>GarethManning/education-agent-skills</x:v>
      </x:c>
      <x:c r="Q9" s="19" t="str">
        <x:v>34702c1c1465389192e760e5faa4476d234f9122</x:v>
      </x:c>
      <x:c r="R9" s="19" t="str">
        <x:v>2026-08-09</x:v>
      </x:c>
      <x:c r="S9" s="17" t="str">
        <x:v>https://github.com/GarethManning/education-agent-skills/blob/34702c1c1465389192e760e5faa4476d234f9122/skills/memory-learning-science/interleaving-unit-planner/SKILL.md</x:v>
      </x:c>
    </x:row>
    <x:row r="10" ht="64" customHeight="1">
      <x:c r="A10" s="18" t="n">
        <x:v>6</x:v>
      </x:c>
      <x:c r="B10" s="18" t="str">
        <x:v>FD-06-0041</x:v>
      </x:c>
      <x:c r="C10" s="17" t="str">
        <x:v>k12-lesson-planning</x:v>
      </x:c>
      <x:c r="D10" s="17" t="str">
        <x:v>06-02 教学大纲、教案与课时规划</x:v>
      </x:c>
      <x:c r="E10" s="17" t="str">
        <x:v>这个技能主要用于教学大纲、教案与课时规划。它可以帮助使用者编写教案和单元计划、生成练习题或测验题、按标准检查作业并提出分数建议、生成具体、可执行的学习反馈。</x:v>
      </x:c>
      <x:c r="F10" s="17" t="str">
        <x:v>教师、助教、课程负责人</x:v>
      </x:c>
      <x:c r="G10" s="17" t="str">
        <x:v>需要把课程目标细化为教学大纲、教案、单元安排或逐周课时计划时</x:v>
      </x:c>
      <x:c r="H10" s="17" t="str">
        <x:v>课程目标、教学周数、学生层次、授课方式和学校模板</x:v>
      </x:c>
      <x:c r="I10" s="17" t="str">
        <x:v>教学大纲、教案、周计划、课时安排和教学进度表</x:v>
      </x:c>
      <x:c r="J10" s="19" t="str">
        <x:v>需要重新改造</x:v>
      </x:c>
      <x:c r="K10" s="19" t="str">
        <x:v>SB-A</x:v>
      </x:c>
      <x:c r="L10" s="17" t="str">
        <x:v>安全等级 SB-A：原包含需要删减或重写的网络、数据、自动决定或权限步骤；正式库只能收录明确列出改造要求的适配方案。</x:v>
      </x:c>
      <x:c r="M10" s="17" t="str">
        <x:v>Apache-2.0</x:v>
      </x:c>
      <x:c r="N10" s="17" t="str">
        <x:v>GitHub 固定提交版本</x:v>
      </x:c>
      <x:c r="O10" s="17" t="str">
        <x:v>anthropics</x:v>
      </x:c>
      <x:c r="P10" s="17" t="str">
        <x:v>anthropics/k12-teacher-skills</x:v>
      </x:c>
      <x:c r="Q10" s="19" t="str">
        <x:v>6fc400329540e068516bd34aa78120d89e5e4e8b</x:v>
      </x:c>
      <x:c r="R10" s="19" t="str">
        <x:v>2026-08-09</x:v>
      </x:c>
      <x:c r="S10" s="17" t="str">
        <x:v>https://github.com/anthropics/k12-teacher-skills/blob/6fc400329540e068516bd34aa78120d89e5e4e8b/plugin/skills/k12-lesson-planning/SKILL.md</x:v>
      </x:c>
    </x:row>
    <x:row r="11" ht="64" customHeight="1">
      <x:c r="A11" s="18" t="n">
        <x:v>7</x:v>
      </x:c>
      <x:c r="B11" s="18" t="str">
        <x:v>FD-06-0042</x:v>
      </x:c>
      <x:c r="C11" s="17" t="str">
        <x:v>Lesson Opening Designer</x:v>
      </x:c>
      <x:c r="D11" s="17" t="str">
        <x:v>06-02 教学大纲、教案与课时规划</x:v>
      </x:c>
      <x:c r="E11" s="17" t="str">
        <x:v>这个技能主要用于教学大纲、教案与课时规划。它可以帮助使用者设计形成性练习和掌握度检查、编写教学大纲、安排单元与课时、检查目标、活动和评价是否一致。</x:v>
      </x:c>
      <x:c r="F11" s="17" t="str">
        <x:v>教师、助教、课程负责人</x:v>
      </x:c>
      <x:c r="G11" s="17" t="str">
        <x:v>需要把课程目标细化为教学大纲、教案、单元安排或逐周课时计划时</x:v>
      </x:c>
      <x:c r="H11" s="17" t="str">
        <x:v>课程目标、教学周数、学生层次、授课方式和学校模板</x:v>
      </x:c>
      <x:c r="I11" s="17" t="str">
        <x:v>教学大纲、教案、周计划、课时安排和教学进度表</x:v>
      </x:c>
      <x:c r="J11" s="19" t="str">
        <x:v>可直接使用</x:v>
      </x:c>
      <x:c r="K11" s="19" t="str">
        <x:v>SA</x:v>
      </x:c>
      <x:c r="L11" s="17" t="str">
        <x:v>安全等级 SA：固定版本主要由说明、清单或模板组成，静态检查未发现账号、外部写回或可执行载荷方面的阻断性问题。</x:v>
      </x:c>
      <x:c r="M11" s="17" t="str">
        <x:v>CC-BY-SA-4.0</x:v>
      </x:c>
      <x:c r="N11" s="17" t="str">
        <x:v>GitHub 固定提交版本</x:v>
      </x:c>
      <x:c r="O11" s="17" t="str">
        <x:v>GarethManning</x:v>
      </x:c>
      <x:c r="P11" s="17" t="str">
        <x:v>GarethManning/education-agent-skills</x:v>
      </x:c>
      <x:c r="Q11" s="19" t="str">
        <x:v>34702c1c1465389192e760e5faa4476d234f9122</x:v>
      </x:c>
      <x:c r="R11" s="19" t="str">
        <x:v>2026-08-09</x:v>
      </x:c>
      <x:c r="S11" s="17" t="str">
        <x:v>https://github.com/GarethManning/education-agent-skills/blob/34702c1c1465389192e760e5faa4476d234f9122/skills/explicit-instruction/lesson-opening-designer/SKILL.md</x:v>
      </x:c>
    </x:row>
    <x:row r="12" ht="64" customHeight="1">
      <x:c r="A12" s="18" t="n">
        <x:v>8</x:v>
      </x:c>
      <x:c r="B12" s="18" t="str">
        <x:v>FD-06-0043</x:v>
      </x:c>
      <x:c r="C12" s="17" t="str">
        <x:v>lesson-builder</x:v>
      </x:c>
      <x:c r="D12" s="17" t="str">
        <x:v>06-02 教学大纲、教案与课时规划</x:v>
      </x:c>
      <x:c r="E12" s="17" t="str">
        <x:v>这个技能主要用于教学大纲、教案与课时规划。它可以帮助使用者编写教案和单元计划、制作或整理教学课件、整理讲义、教材或学习指南、设计教学案例。</x:v>
      </x:c>
      <x:c r="F12" s="17" t="str">
        <x:v>教师、助教、课程负责人</x:v>
      </x:c>
      <x:c r="G12" s="17" t="str">
        <x:v>需要把课程目标细化为教学大纲、教案、单元安排或逐周课时计划时</x:v>
      </x:c>
      <x:c r="H12" s="17" t="str">
        <x:v>课程目标、教学周数、学生层次、授课方式和学校模板</x:v>
      </x:c>
      <x:c r="I12" s="17" t="str">
        <x:v>教学大纲、教案、周计划、课时安排和教学进度表</x:v>
      </x:c>
      <x:c r="J12" s="19" t="str">
        <x:v>可直接使用</x:v>
      </x:c>
      <x:c r="K12" s="19" t="str">
        <x:v>SA</x:v>
      </x:c>
      <x:c r="L12" s="17" t="str">
        <x:v>安全等级 SA：固定版本主要由说明、清单或模板组成，静态检查未发现账号、外部写回或可执行载荷方面的阻断性问题。</x:v>
      </x:c>
      <x:c r="M12" s="17" t="str">
        <x:v>MIT</x:v>
      </x:c>
      <x:c r="N12" s="17" t="str">
        <x:v>GitHub 固定提交版本</x:v>
      </x:c>
      <x:c r="O12" s="17" t="str">
        <x:v>YujxZJCN</x:v>
      </x:c>
      <x:c r="P12" s="17" t="str">
        <x:v>YujxZJCN/teaching-skills</x:v>
      </x:c>
      <x:c r="Q12" s="19" t="str">
        <x:v>50258caf73fb0495adc725864fdf278a3072716c</x:v>
      </x:c>
      <x:c r="R12" s="19" t="str">
        <x:v>2026-08-09</x:v>
      </x:c>
      <x:c r="S12" s="17" t="str">
        <x:v>https://github.com/YujxZJCN/teaching-skills/blob/50258caf73fb0495adc725864fdf278a3072716c/lesson-builder/SKILL.md</x:v>
      </x:c>
    </x:row>
    <x:row r="13" ht="64" customHeight="1">
      <x:c r="A13" s="18" t="n">
        <x:v>9</x:v>
      </x:c>
      <x:c r="B13" s="18" t="str">
        <x:v>FD-06-0044</x:v>
      </x:c>
      <x:c r="C13" s="17" t="str">
        <x:v>lesson-generator</x:v>
      </x:c>
      <x:c r="D13" s="17" t="str">
        <x:v>06-02 教学大纲、教案与课时规划</x:v>
      </x:c>
      <x:c r="E13" s="17" t="str">
        <x:v>这个技能主要用于教学大纲、教案与课时规划。它可以帮助使用者梳理学习目标和能力要求、生成练习题或测验题、编写教学大纲、安排单元与课时。</x:v>
      </x:c>
      <x:c r="F13" s="17" t="str">
        <x:v>教师、助教、课程负责人</x:v>
      </x:c>
      <x:c r="G13" s="17" t="str">
        <x:v>需要把课程目标细化为教学大纲、教案、单元安排或逐周课时计划时</x:v>
      </x:c>
      <x:c r="H13" s="17" t="str">
        <x:v>课程目标、教学周数、学生层次、授课方式和学校模板</x:v>
      </x:c>
      <x:c r="I13" s="17" t="str">
        <x:v>教学大纲、教案、周计划、课时安排和教学进度表</x:v>
      </x:c>
      <x:c r="J13" s="19" t="str">
        <x:v>需要少量调整</x:v>
      </x:c>
      <x:c r="K13" s="19" t="str">
        <x:v>SB</x:v>
      </x:c>
      <x:c r="L13" s="17" t="str">
        <x:v>安全等级 SB：固定版本存在可识别的脚本、联网或受控文件操作；在限定目录、最小权限和人工确认下可作为候选采用。</x:v>
      </x:c>
      <x:c r="M13" s="17" t="str">
        <x:v>MIT</x:v>
      </x:c>
      <x:c r="N13" s="17" t="str">
        <x:v>GitHub 固定提交版本</x:v>
      </x:c>
      <x:c r="O13" s="17" t="str">
        <x:v>sickn33</x:v>
      </x:c>
      <x:c r="P13" s="17" t="str">
        <x:v>sickn33/agentic-awesome-skills</x:v>
      </x:c>
      <x:c r="Q13" s="19" t="str">
        <x:v>75c558b7ea89a023877b96eac74ced7aa1ee93f6</x:v>
      </x:c>
      <x:c r="R13" s="19" t="str">
        <x:v>2026-08-09</x:v>
      </x:c>
      <x:c r="S13" s="17" t="str">
        <x:v>https://github.com/sickn33/agentic-awesome-skills/blob/75c558b7ea89a023877b96eac74ced7aa1ee93f6/skills/lesson-generator/SKILL.md</x:v>
      </x:c>
    </x:row>
    <x:row r="14" ht="64" customHeight="1">
      <x:c r="A14" s="18" t="n">
        <x:v>10</x:v>
      </x:c>
      <x:c r="B14" s="18" t="str">
        <x:v>FD-06-0045</x:v>
      </x:c>
      <x:c r="C14" s="17" t="str">
        <x:v>lesson-plan</x:v>
      </x:c>
      <x:c r="D14" s="17" t="str">
        <x:v>06-02 教学大纲、教案与课时规划</x:v>
      </x:c>
      <x:c r="E14" s="17" t="str">
        <x:v>这个技能主要用于教学大纲、教案与课时规划。它可以帮助使用者梳理学习目标和能力要求、编写教案和单元计划、按标准检查作业并提出分数建议、按学生差异调整内容和支持。</x:v>
      </x:c>
      <x:c r="F14" s="17" t="str">
        <x:v>教师、助教、课程负责人</x:v>
      </x:c>
      <x:c r="G14" s="17" t="str">
        <x:v>需要把课程目标细化为教学大纲、教案、单元安排或逐周课时计划时</x:v>
      </x:c>
      <x:c r="H14" s="17" t="str">
        <x:v>课程目标、教学周数、学生层次、授课方式和学校模板</x:v>
      </x:c>
      <x:c r="I14" s="17" t="str">
        <x:v>教学大纲、教案、周计划、课时安排和教学进度表</x:v>
      </x:c>
      <x:c r="J14" s="19" t="str">
        <x:v>可直接使用</x:v>
      </x:c>
      <x:c r="K14" s="19" t="str">
        <x:v>SA</x:v>
      </x:c>
      <x:c r="L14" s="17" t="str">
        <x:v>安全等级 SA：固定版本主要由说明、清单或模板组成，静态检查未发现账号、外部写回或可执行载荷方面的阻断性问题。</x:v>
      </x:c>
      <x:c r="M14" s="17" t="str">
        <x:v>MIT</x:v>
      </x:c>
      <x:c r="N14" s="17" t="str">
        <x:v>GitHub 固定提交版本</x:v>
      </x:c>
      <x:c r="O14" s="17" t="str">
        <x:v>Jellypod-Inc</x:v>
      </x:c>
      <x:c r="P14" s="17" t="str">
        <x:v>Jellypod-Inc/school-skills</x:v>
      </x:c>
      <x:c r="Q14" s="19" t="str">
        <x:v>cd484795e924e454caafd13ddc25c1ec76c48718</x:v>
      </x:c>
      <x:c r="R14" s="19" t="str">
        <x:v>2026-08-09</x:v>
      </x:c>
      <x:c r="S14" s="17" t="str">
        <x:v>https://github.com/Jellypod-Inc/school-skills/blob/cd484795e924e454caafd13ddc25c1ec76c48718/skills/lesson-plan/SKILL.md</x:v>
      </x:c>
    </x:row>
    <x:row r="15" ht="64" customHeight="1">
      <x:c r="A15" s="18" t="n">
        <x:v>11</x:v>
      </x:c>
      <x:c r="B15" s="18" t="str">
        <x:v>FD-06-0046</x:v>
      </x:c>
      <x:c r="C15" s="17" t="str">
        <x:v>lesson-plan</x:v>
      </x:c>
      <x:c r="D15" s="17" t="str">
        <x:v>06-02 教学大纲、教案与课时规划</x:v>
      </x:c>
      <x:c r="E15" s="17" t="str">
        <x:v>这个技能主要用于教学大纲、教案与课时规划。它可以帮助使用者梳理学习目标和能力要求、编写教案和单元计划、设计项目、工作坊或课堂活动、按学生差异调整内容和支持。</x:v>
      </x:c>
      <x:c r="F15" s="17" t="str">
        <x:v>教师、助教、课程负责人</x:v>
      </x:c>
      <x:c r="G15" s="17" t="str">
        <x:v>需要把课程目标细化为教学大纲、教案、单元安排或逐周课时计划时</x:v>
      </x:c>
      <x:c r="H15" s="17" t="str">
        <x:v>课程目标、教学周数、学生层次、授课方式和学校模板</x:v>
      </x:c>
      <x:c r="I15" s="17" t="str">
        <x:v>教学大纲、教案、周计划、课时安排和教学进度表</x:v>
      </x:c>
      <x:c r="J15" s="19" t="str">
        <x:v>可直接使用</x:v>
      </x:c>
      <x:c r="K15" s="19" t="str">
        <x:v>SA</x:v>
      </x:c>
      <x:c r="L15" s="17" t="str">
        <x:v>安全等级 SA：固定版本主要由说明、清单或模板组成，静态检查未发现账号、外部写回或可执行载荷方面的阻断性问题。</x:v>
      </x:c>
      <x:c r="M15" s="17" t="str">
        <x:v>MIT</x:v>
      </x:c>
      <x:c r="N15" s="17" t="str">
        <x:v>GitHub 固定提交版本</x:v>
      </x:c>
      <x:c r="O15" s="17" t="str">
        <x:v>mohitagw15856</x:v>
      </x:c>
      <x:c r="P15" s="17" t="str">
        <x:v>mohitagw15856/pm-claude-skills</x:v>
      </x:c>
      <x:c r="Q15" s="19" t="str">
        <x:v>fddfbc4a6caa8b4d3d41a69c666efaaff9d42def</x:v>
      </x:c>
      <x:c r="R15" s="19" t="str">
        <x:v>2026-08-09</x:v>
      </x:c>
      <x:c r="S15" s="17" t="str">
        <x:v>https://github.com/mohitagw15856/pm-claude-skills/blob/fddfbc4a6caa8b4d3d41a69c666efaaff9d42def/skills/lesson-plan/SKILL.md</x:v>
      </x:c>
    </x:row>
    <x:row r="16" ht="64" customHeight="1">
      <x:c r="A16" s="18" t="n">
        <x:v>12</x:v>
      </x:c>
      <x:c r="B16" s="18" t="str">
        <x:v>FD-06-0047</x:v>
      </x:c>
      <x:c r="C16" s="17" t="str">
        <x:v>lesson-plan-builder</x:v>
      </x:c>
      <x:c r="D16" s="17" t="str">
        <x:v>06-02 教学大纲、教案与课时规划</x:v>
      </x:c>
      <x:c r="E16" s="17" t="str">
        <x:v>这个技能主要用于教学大纲、教案与课时规划。它可以帮助使用者梳理学习目标和能力要求、编写教案和单元计划、设计项目、工作坊或课堂活动、设计形成性练习和掌握度检查。</x:v>
      </x:c>
      <x:c r="F16" s="17" t="str">
        <x:v>教师、助教、课程负责人</x:v>
      </x:c>
      <x:c r="G16" s="17" t="str">
        <x:v>需要把课程目标细化为教学大纲、教案、单元安排或逐周课时计划时</x:v>
      </x:c>
      <x:c r="H16" s="17" t="str">
        <x:v>课程目标、教学周数、学生层次、授课方式和学校模板</x:v>
      </x:c>
      <x:c r="I16" s="17" t="str">
        <x:v>教学大纲、教案、周计划、课时安排和教学进度表</x:v>
      </x:c>
      <x:c r="J16" s="19" t="str">
        <x:v>可直接使用</x:v>
      </x:c>
      <x:c r="K16" s="19" t="str">
        <x:v>SA</x:v>
      </x:c>
      <x:c r="L16" s="17" t="str">
        <x:v>安全等级 SA：固定版本主要由说明、清单或模板组成，静态检查未发现账号、外部写回或可执行载荷方面的阻断性问题。</x:v>
      </x:c>
      <x:c r="M16" s="17" t="str">
        <x:v>MIT</x:v>
      </x:c>
      <x:c r="N16" s="17" t="str">
        <x:v>GitHub 固定提交版本</x:v>
      </x:c>
      <x:c r="O16" s="17" t="str">
        <x:v>mohitagw15856</x:v>
      </x:c>
      <x:c r="P16" s="17" t="str">
        <x:v>mohitagw15856/pm-claude-skills</x:v>
      </x:c>
      <x:c r="Q16" s="19" t="str">
        <x:v>fddfbc4a6caa8b4d3d41a69c666efaaff9d42def</x:v>
      </x:c>
      <x:c r="R16" s="19" t="str">
        <x:v>2026-08-09</x:v>
      </x:c>
      <x:c r="S16" s="17" t="str">
        <x:v>https://github.com/mohitagw15856/pm-claude-skills/blob/fddfbc4a6caa8b4d3d41a69c666efaaff9d42def/plugins/pm-teaching/skills/lesson-plan-builder/SKILL.md</x:v>
      </x:c>
    </x:row>
    <x:row r="17" ht="64" customHeight="1">
      <x:c r="A17" s="18" t="n">
        <x:v>13</x:v>
      </x:c>
      <x:c r="B17" s="18" t="str">
        <x:v>FD-06-0048</x:v>
      </x:c>
      <x:c r="C17" s="17" t="str">
        <x:v>lesson-plan-design</x:v>
      </x:c>
      <x:c r="D17" s="17" t="str">
        <x:v>06-02 教学大纲、教案与课时规划</x:v>
      </x:c>
      <x:c r="E17" s="17" t="str">
        <x:v>这个技能主要用于教学大纲、教案与课时规划。它可以帮助使用者制作课程或知识点对应关系、梳理学习目标和能力要求、检查目标、活动与评价是否相互支持、编写教案和单元计划。</x:v>
      </x:c>
      <x:c r="F17" s="17" t="str">
        <x:v>教师、助教、课程负责人</x:v>
      </x:c>
      <x:c r="G17" s="17" t="str">
        <x:v>需要把课程目标细化为教学大纲、教案、单元安排或逐周课时计划时</x:v>
      </x:c>
      <x:c r="H17" s="17" t="str">
        <x:v>课程目标、教学周数、学生层次、授课方式和学校模板</x:v>
      </x:c>
      <x:c r="I17" s="17" t="str">
        <x:v>教学大纲、教案、周计划、课时安排和教学进度表</x:v>
      </x:c>
      <x:c r="J17" s="19" t="str">
        <x:v>可直接使用</x:v>
      </x:c>
      <x:c r="K17" s="19" t="str">
        <x:v>SA</x:v>
      </x:c>
      <x:c r="L17" s="17" t="str">
        <x:v>安全等级 SA：固定版本主要由说明、清单或模板组成，静态检查未发现账号、外部写回或可执行载荷方面的阻断性问题。</x:v>
      </x:c>
      <x:c r="M17" s="17" t="str">
        <x:v>Apache-2.0</x:v>
      </x:c>
      <x:c r="N17" s="17" t="str">
        <x:v>GitHub 固定提交版本</x:v>
      </x:c>
      <x:c r="O17" s="17" t="str">
        <x:v>FerroxLabs</x:v>
      </x:c>
      <x:c r="P17" s="17" t="str">
        <x:v>FerroxLabs/wayland</x:v>
      </x:c>
      <x:c r="Q17" s="19" t="str">
        <x:v>b3cd0511a4406d5e837db9d7e42e395c08387baf</x:v>
      </x:c>
      <x:c r="R17" s="19" t="str">
        <x:v>2026-08-09</x:v>
      </x:c>
      <x:c r="S17" s="17" t="str">
        <x:v>https://github.com/FerroxLabs/wayland/blob/b3cd0511a4406d5e837db9d7e42e395c08387baf/src/process/resources/skills-library/bodies/skills/education/lesson-plan-design/SKILL.md</x:v>
      </x:c>
    </x:row>
    <x:row r="18" ht="64" customHeight="1">
      <x:c r="A18" s="18" t="n">
        <x:v>14</x:v>
      </x:c>
      <x:c r="B18" s="18" t="str">
        <x:v>FD-06-0049</x:v>
      </x:c>
      <x:c r="C18" s="17" t="str">
        <x:v>Pedagogical Content Knowledge Developer</x:v>
      </x:c>
      <x:c r="D18" s="17" t="str">
        <x:v>06-02 教学大纲、教案与课时规划</x:v>
      </x:c>
      <x:c r="E18" s="17" t="str">
        <x:v>这个技能主要用于教学大纲、教案与课时规划。它可以帮助使用者编写教学大纲、安排单元与课时、检查目标、活动和评价是否一致。</x:v>
      </x:c>
      <x:c r="F18" s="17" t="str">
        <x:v>教师、助教、课程负责人</x:v>
      </x:c>
      <x:c r="G18" s="17" t="str">
        <x:v>需要把课程目标细化为教学大纲、教案、单元安排或逐周课时计划时</x:v>
      </x:c>
      <x:c r="H18" s="17" t="str">
        <x:v>课程目标、教学周数、学生层次、授课方式和学校模板</x:v>
      </x:c>
      <x:c r="I18" s="17" t="str">
        <x:v>教学大纲、教案、周计划、课时安排和教学进度表</x:v>
      </x:c>
      <x:c r="J18" s="19" t="str">
        <x:v>可直接使用</x:v>
      </x:c>
      <x:c r="K18" s="19" t="str">
        <x:v>SA</x:v>
      </x:c>
      <x:c r="L18" s="17" t="str">
        <x:v>安全等级 SA：固定版本主要由说明、清单或模板组成，静态检查未发现账号、外部写回或可执行载荷方面的阻断性问题。</x:v>
      </x:c>
      <x:c r="M18" s="17" t="str">
        <x:v>CC-BY-SA-4.0</x:v>
      </x:c>
      <x:c r="N18" s="17" t="str">
        <x:v>GitHub 固定提交版本</x:v>
      </x:c>
      <x:c r="O18" s="17" t="str">
        <x:v>GarethManning</x:v>
      </x:c>
      <x:c r="P18" s="17" t="str">
        <x:v>GarethManning/education-agent-skills</x:v>
      </x:c>
      <x:c r="Q18" s="19" t="str">
        <x:v>34702c1c1465389192e760e5faa4476d234f9122</x:v>
      </x:c>
      <x:c r="R18" s="19" t="str">
        <x:v>2026-08-09</x:v>
      </x:c>
      <x:c r="S18" s="17" t="str">
        <x:v>https://github.com/GarethManning/education-agent-skills/blob/34702c1c1465389192e760e5faa4476d234f9122/skills/professional-learning/pedagogical-content-knowledge-developer/SKILL.md</x:v>
      </x:c>
    </x:row>
    <x:row r="19" ht="64" customHeight="1">
      <x:c r="A19" s="18" t="n">
        <x:v>15</x:v>
      </x:c>
      <x:c r="B19" s="18" t="str">
        <x:v>FD-06-0050</x:v>
      </x:c>
      <x:c r="C19" s="17" t="str">
        <x:v>PERMA-Based Lesson Designer</x:v>
      </x:c>
      <x:c r="D19" s="17" t="str">
        <x:v>06-02 教学大纲、教案与课时规划</x:v>
      </x:c>
      <x:c r="E19" s="17" t="str">
        <x:v>这个技能主要用于教学大纲、教案与课时规划。它可以帮助使用者梳理学习目标和能力要求、设计形成性练习和掌握度检查、编写教学大纲、安排单元与课时。</x:v>
      </x:c>
      <x:c r="F19" s="17" t="str">
        <x:v>教师、助教、课程负责人</x:v>
      </x:c>
      <x:c r="G19" s="17" t="str">
        <x:v>需要把课程目标细化为教学大纲、教案、单元安排或逐周课时计划时</x:v>
      </x:c>
      <x:c r="H19" s="17" t="str">
        <x:v>课程目标、教学周数、学生层次、授课方式和学校模板</x:v>
      </x:c>
      <x:c r="I19" s="17" t="str">
        <x:v>教学大纲、教案、周计划、课时安排和教学进度表</x:v>
      </x:c>
      <x:c r="J19" s="19" t="str">
        <x:v>可直接使用</x:v>
      </x:c>
      <x:c r="K19" s="19" t="str">
        <x:v>SA</x:v>
      </x:c>
      <x:c r="L19" s="17" t="str">
        <x:v>安全等级 SA：固定版本主要由说明、清单或模板组成，静态检查未发现账号、外部写回或可执行载荷方面的阻断性问题。</x:v>
      </x:c>
      <x:c r="M19" s="17" t="str">
        <x:v>CC-BY-SA-4.0</x:v>
      </x:c>
      <x:c r="N19" s="17" t="str">
        <x:v>GitHub 固定提交版本</x:v>
      </x:c>
      <x:c r="O19" s="17" t="str">
        <x:v>GarethManning</x:v>
      </x:c>
      <x:c r="P19" s="17" t="str">
        <x:v>GarethManning/education-agent-skills</x:v>
      </x:c>
      <x:c r="Q19" s="19" t="str">
        <x:v>34702c1c1465389192e760e5faa4476d234f9122</x:v>
      </x:c>
      <x:c r="R19" s="19" t="str">
        <x:v>2026-08-09</x:v>
      </x:c>
      <x:c r="S19" s="17" t="str">
        <x:v>https://github.com/GarethManning/education-agent-skills/blob/34702c1c1465389192e760e5faa4476d234f9122/skills/wellbeing-motivation-agency/perma-based-lesson-designer/SKILL.md</x:v>
      </x:c>
    </x:row>
    <x:row r="20" ht="64" customHeight="1">
      <x:c r="A20" s="18" t="n">
        <x:v>16</x:v>
      </x:c>
      <x:c r="B20" s="18" t="str">
        <x:v>FD-06-0051</x:v>
      </x:c>
      <x:c r="C20" s="17" t="str">
        <x:v>Prompt Literacy Sequence Designer</x:v>
      </x:c>
      <x:c r="D20" s="17" t="str">
        <x:v>06-02 教学大纲、教案与课时规划</x:v>
      </x:c>
      <x:c r="E20" s="17" t="str">
        <x:v>这个技能主要用于教学大纲、教案与课时规划。它可以帮助使用者检查课程或教学材料质量、编写教学大纲、安排单元与课时、检查目标、活动和评价是否一致。</x:v>
      </x:c>
      <x:c r="F20" s="17" t="str">
        <x:v>教师、助教、课程负责人</x:v>
      </x:c>
      <x:c r="G20" s="17" t="str">
        <x:v>需要把课程目标细化为教学大纲、教案、单元安排或逐周课时计划时</x:v>
      </x:c>
      <x:c r="H20" s="17" t="str">
        <x:v>课程目标、教学周数、学生层次、授课方式和学校模板</x:v>
      </x:c>
      <x:c r="I20" s="17" t="str">
        <x:v>教学大纲、教案、周计划、课时安排和教学进度表</x:v>
      </x:c>
      <x:c r="J20" s="19" t="str">
        <x:v>可直接使用</x:v>
      </x:c>
      <x:c r="K20" s="19" t="str">
        <x:v>SA</x:v>
      </x:c>
      <x:c r="L20" s="17" t="str">
        <x:v>安全等级 SA：固定版本主要由说明、清单或模板组成，静态检查未发现账号、外部写回或可执行载荷方面的阻断性问题。</x:v>
      </x:c>
      <x:c r="M20" s="17" t="str">
        <x:v>CC-BY-SA-4.0</x:v>
      </x:c>
      <x:c r="N20" s="17" t="str">
        <x:v>GitHub 固定提交版本</x:v>
      </x:c>
      <x:c r="O20" s="17" t="str">
        <x:v>GarethManning</x:v>
      </x:c>
      <x:c r="P20" s="17" t="str">
        <x:v>GarethManning/education-agent-skills</x:v>
      </x:c>
      <x:c r="Q20" s="19" t="str">
        <x:v>34702c1c1465389192e760e5faa4476d234f9122</x:v>
      </x:c>
      <x:c r="R20" s="19" t="str">
        <x:v>2026-08-09</x:v>
      </x:c>
      <x:c r="S20" s="17" t="str">
        <x:v>https://github.com/GarethManning/education-agent-skills/blob/34702c1c1465389192e760e5faa4476d234f9122/skills/ai-literacy/prompt-literacy-sequence-designer/SKILL.md</x:v>
      </x:c>
    </x:row>
    <x:row r="21" ht="64" customHeight="1">
      <x:c r="A21" s="18" t="n">
        <x:v>17</x:v>
      </x:c>
      <x:c r="B21" s="18" t="str">
        <x:v>FD-06-0052</x:v>
      </x:c>
      <x:c r="C21" s="17" t="str">
        <x:v>Spaced Practice Schedule Builder</x:v>
      </x:c>
      <x:c r="D21" s="17" t="str">
        <x:v>06-02 教学大纲、教案与课时规划</x:v>
      </x:c>
      <x:c r="E21" s="17" t="str">
        <x:v>这个技能主要用于教学大纲、教案与课时规划。它可以帮助使用者安排周次、课时和教学进度、设计形成性练习和掌握度检查、编写教学大纲、安排单元与课时。</x:v>
      </x:c>
      <x:c r="F21" s="17" t="str">
        <x:v>教师、助教、课程负责人</x:v>
      </x:c>
      <x:c r="G21" s="17" t="str">
        <x:v>需要把课程目标细化为教学大纲、教案、单元安排或逐周课时计划时</x:v>
      </x:c>
      <x:c r="H21" s="17" t="str">
        <x:v>课程目标、教学周数、学生层次、授课方式和学校模板</x:v>
      </x:c>
      <x:c r="I21" s="17" t="str">
        <x:v>教学大纲、教案、周计划、课时安排和教学进度表</x:v>
      </x:c>
      <x:c r="J21" s="19" t="str">
        <x:v>可直接使用</x:v>
      </x:c>
      <x:c r="K21" s="19" t="str">
        <x:v>SA</x:v>
      </x:c>
      <x:c r="L21" s="17" t="str">
        <x:v>安全等级 SA：固定版本主要由说明、清单或模板组成，静态检查未发现账号、外部写回或可执行载荷方面的阻断性问题。</x:v>
      </x:c>
      <x:c r="M21" s="17" t="str">
        <x:v>CC-BY-SA-4.0</x:v>
      </x:c>
      <x:c r="N21" s="17" t="str">
        <x:v>GitHub 固定提交版本</x:v>
      </x:c>
      <x:c r="O21" s="17" t="str">
        <x:v>GarethManning</x:v>
      </x:c>
      <x:c r="P21" s="17" t="str">
        <x:v>GarethManning/education-agent-skills</x:v>
      </x:c>
      <x:c r="Q21" s="19" t="str">
        <x:v>34702c1c1465389192e760e5faa4476d234f9122</x:v>
      </x:c>
      <x:c r="R21" s="19" t="str">
        <x:v>2026-08-09</x:v>
      </x:c>
      <x:c r="S21" s="17" t="str">
        <x:v>https://github.com/GarethManning/education-agent-skills/blob/34702c1c1465389192e760e5faa4476d234f9122/skills/memory-learning-science/spaced-practice-scheduler/SKILL.md</x:v>
      </x:c>
    </x:row>
    <x:row r="22" ht="64" customHeight="1">
      <x:c r="A22" s="18" t="n">
        <x:v>18</x:v>
      </x:c>
      <x:c r="B22" s="18" t="str">
        <x:v>FD-06-0053</x:v>
      </x:c>
      <x:c r="C22" s="17" t="str">
        <x:v>teaching-lesson-plan</x:v>
      </x:c>
      <x:c r="D22" s="17" t="str">
        <x:v>06-02 教学大纲、教案与课时规划</x:v>
      </x:c>
      <x:c r="E22" s="17" t="str">
        <x:v>这个技能主要用于教学大纲、教案与课时规划。它可以帮助使用者梳理学习目标和能力要求、编写或检查教学大纲、编写教案和单元计划、设计项目、工作坊或课堂活动。</x:v>
      </x:c>
      <x:c r="F22" s="17" t="str">
        <x:v>教师、助教、课程负责人</x:v>
      </x:c>
      <x:c r="G22" s="17" t="str">
        <x:v>需要把课程目标细化为教学大纲、教案、单元安排或逐周课时计划时</x:v>
      </x:c>
      <x:c r="H22" s="17" t="str">
        <x:v>课程目标、教学周数、学生层次、授课方式和学校模板</x:v>
      </x:c>
      <x:c r="I22" s="17" t="str">
        <x:v>教学大纲、教案、周计划、课时安排和教学进度表</x:v>
      </x:c>
      <x:c r="J22" s="19" t="str">
        <x:v>可直接使用</x:v>
      </x:c>
      <x:c r="K22" s="19" t="str">
        <x:v>SA</x:v>
      </x:c>
      <x:c r="L22" s="17" t="str">
        <x:v>安全等级 SA：固定版本主要由说明、清单或模板组成，静态检查未发现账号、外部写回或可执行载荷方面的阻断性问题。</x:v>
      </x:c>
      <x:c r="M22" s="17" t="str">
        <x:v>MIT</x:v>
      </x:c>
      <x:c r="N22" s="17" t="str">
        <x:v>GitHub 固定提交版本</x:v>
      </x:c>
      <x:c r="O22" s="17" t="str">
        <x:v>mohitagw15856</x:v>
      </x:c>
      <x:c r="P22" s="17" t="str">
        <x:v>mohitagw15856/pm-claude-skills</x:v>
      </x:c>
      <x:c r="Q22" s="19" t="str">
        <x:v>fddfbc4a6caa8b4d3d41a69c666efaaff9d42def</x:v>
      </x:c>
      <x:c r="R22" s="19" t="str">
        <x:v>2026-08-09</x:v>
      </x:c>
      <x:c r="S22" s="17" t="str">
        <x:v>https://github.com/mohitagw15856/pm-claude-skills/blob/fddfbc4a6caa8b4d3d41a69c666efaaff9d42def/plugins/pm-cross/skills/teaching-lesson-plan/SKILL.md</x:v>
      </x:c>
    </x:row>
    <x:row r="23" ht="64" customHeight="1">
      <x:c r="A23" s="18" t="n">
        <x:v>19</x:v>
      </x:c>
      <x:c r="B23" s="18" t="str">
        <x:v>FD-06-0054</x:v>
      </x:c>
      <x:c r="C23" s="17" t="str">
        <x:v>Three-Part Lesson Designer (Montessori)</x:v>
      </x:c>
      <x:c r="D23" s="17" t="str">
        <x:v>06-02 教学大纲、教案与课时规划</x:v>
      </x:c>
      <x:c r="E23" s="17" t="str">
        <x:v>这个技能主要用于教学大纲、教案与课时规划。它可以帮助使用者编写教学大纲、安排单元与课时、检查目标、活动和评价是否一致。</x:v>
      </x:c>
      <x:c r="F23" s="17" t="str">
        <x:v>教师、助教、课程负责人</x:v>
      </x:c>
      <x:c r="G23" s="17" t="str">
        <x:v>需要把课程目标细化为教学大纲、教案、单元安排或逐周课时计划时</x:v>
      </x:c>
      <x:c r="H23" s="17" t="str">
        <x:v>课程目标、教学周数、学生层次、授课方式和学校模板</x:v>
      </x:c>
      <x:c r="I23" s="17" t="str">
        <x:v>教学大纲、教案、周计划、课时安排和教学进度表</x:v>
      </x:c>
      <x:c r="J23" s="19" t="str">
        <x:v>可直接使用</x:v>
      </x:c>
      <x:c r="K23" s="19" t="str">
        <x:v>SA</x:v>
      </x:c>
      <x:c r="L23" s="17" t="str">
        <x:v>安全等级 SA：固定版本主要由说明、清单或模板组成，静态检查未发现账号、外部写回或可执行载荷方面的阻断性问题。</x:v>
      </x:c>
      <x:c r="M23" s="17" t="str">
        <x:v>CC-BY-SA-4.0</x:v>
      </x:c>
      <x:c r="N23" s="17" t="str">
        <x:v>GitHub 固定提交版本</x:v>
      </x:c>
      <x:c r="O23" s="17" t="str">
        <x:v>GarethManning</x:v>
      </x:c>
      <x:c r="P23" s="17" t="str">
        <x:v>GarethManning/education-agent-skills</x:v>
      </x:c>
      <x:c r="Q23" s="19" t="str">
        <x:v>34702c1c1465389192e760e5faa4476d234f9122</x:v>
      </x:c>
      <x:c r="R23" s="19" t="str">
        <x:v>2026-08-09</x:v>
      </x:c>
      <x:c r="S23" s="17" t="str">
        <x:v>https://github.com/GarethManning/education-agent-skills/blob/34702c1c1465389192e760e5faa4476d234f9122/skills/montessori-alternative-approaches/three-part-lesson-designer/SKILL.md</x:v>
      </x:c>
    </x:row>
  </x:sheetData>
  <x:mergeCells>
    <x:mergeCell ref="A1:S1"/>
    <x:mergeCell ref="A2:S2"/>
  </x:mergeCells>
  <x:conditionalFormatting sqref="K5:K23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33793fc3114f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06-02 教学大纲、教案与课时规划｜分类统计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COUNTA('AI技能清单'!$B$5:$B$23)</x:f>
        <x:v>19</x:v>
      </x:c>
      <x:c r="D4" s="9" t="str">
        <x:v>06-02 教学大纲、教案与课时规划</x:v>
      </x:c>
      <x:c r="E4" s="9" t="n">
        <x:f>COUNTIF('AI技能清单'!$D$5:$D$23,D4)</x:f>
        <x:v>19</x:v>
      </x:c>
      <x:c r="G4" s="9" t="str">
        <x:v>GitHub 固定提交版本</x:v>
      </x:c>
      <x:c r="H4" s="9" t="n">
        <x:f>COUNTIF('AI技能清单'!$N$5:$N$23,G4)</x:f>
        <x:v>19</x:v>
      </x:c>
      <x:c r="J4" s="9" t="str">
        <x:v>Apache-2.0</x:v>
      </x:c>
      <x:c r="K4" s="9" t="n">
        <x:f>COUNTIF('AI技能清单'!$M$5:$M$23,J4)</x:f>
        <x:v>2</x:v>
      </x:c>
    </x:row>
    <x:row r="5">
      <x:c r="A5" s="9" t="str">
        <x:v>安全等级 SA</x:v>
      </x:c>
      <x:c r="B5" s="9" t="n">
        <x:f>COUNTIF('AI技能清单'!$K$5:$K$23,"SA")</x:f>
        <x:v>16</x:v>
      </x:c>
      <x:c r="J5" s="9" t="str">
        <x:v>CC-BY-SA-4.0</x:v>
      </x:c>
      <x:c r="K5" s="9" t="n">
        <x:f>COUNTIF('AI技能清单'!$M$5:$M$23,J5)</x:f>
        <x:v>10</x:v>
      </x:c>
    </x:row>
    <x:row r="6">
      <x:c r="A6" s="9" t="str">
        <x:v>安全等级 SB</x:v>
      </x:c>
      <x:c r="B6" s="9" t="n">
        <x:f>COUNTIF('AI技能清单'!$K$5:$K$23,"SB")</x:f>
        <x:v>2</x:v>
      </x:c>
      <x:c r="J6" s="9" t="str">
        <x:v>MIT</x:v>
      </x:c>
      <x:c r="K6" s="9" t="n">
        <x:f>COUNTIF('AI技能清单'!$M$5:$M$23,J6)</x:f>
        <x:v>7</x:v>
      </x:c>
    </x:row>
    <x:row r="7">
      <x:c r="A7" s="9" t="str">
        <x:v>安全等级 SB-A</x:v>
      </x:c>
      <x:c r="B7" s="9" t="n">
        <x:f>COUNTIF('AI技能清单'!$K$5:$K$23,"SB-A")</x:f>
        <x:v>1</x:v>
      </x:c>
    </x:row>
    <x:row r="8">
      <x:c r="A8" s="9" t="str">
        <x:v>可直接使用</x:v>
      </x:c>
      <x:c r="B8" s="9" t="n">
        <x:f>COUNTIF('AI技能清单'!$J$5:$J$23,"可直接使用")</x:f>
        <x:v>16</x:v>
      </x:c>
    </x:row>
    <x:row r="9">
      <x:c r="A9" s="9" t="str">
        <x:v>需要少量调整</x:v>
      </x:c>
      <x:c r="B9" s="9" t="n">
        <x:f>COUNTIF('AI技能清单'!$J$5:$J$23,"需要少量调整")</x:f>
        <x:v>2</x:v>
      </x:c>
    </x:row>
    <x:row r="10">
      <x:c r="A10" s="9" t="str">
        <x:v>需要重新改造</x:v>
      </x:c>
      <x:c r="B10" s="9" t="n">
        <x:f>COUNTIF('AI技能清单'!$J$5:$J$23,"需要重新改造")</x:f>
        <x:v>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06-02 教学大纲、教案与课时规划｜公开来源清单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AlterLab-IEU/AlterLab-Academic-Skills</x:v>
      </x:c>
      <x:c r="B5" s="17" t="str">
        <x:v>GitHub 固定提交版本</x:v>
      </x:c>
      <x:c r="C5" s="17" t="str">
        <x:v>AlterLab-IEU</x:v>
      </x:c>
      <x:c r="D5" s="17" t="str">
        <x:v>MIT</x:v>
      </x:c>
      <x:c r="E5" s="19" t="n">
        <x:v>1</x:v>
      </x:c>
      <x:c r="F5" s="19" t="n">
        <x:f>COUNTIF('AI技能清单'!$P$5:$P$23,A5)</x:f>
        <x:v>1</x:v>
      </x:c>
      <x:c r="G5" s="19" t="str">
        <x:v>SB</x:v>
      </x:c>
      <x:c r="H5" s="17" t="str">
        <x:v>https://github.com/AlterLab-IEU/AlterLab-Academic-Skills/blob/a0064fd54180541785cd1986ad8eb1689b834270/skills/faculty-life/alterlab-syllabus-ai-policy/SKILL.md</x:v>
      </x:c>
    </x:row>
    <x:row r="6">
      <x:c r="A6" s="17" t="str">
        <x:v>anthropics/k12-teacher-skills</x:v>
      </x:c>
      <x:c r="B6" s="17" t="str">
        <x:v>GitHub 固定提交版本</x:v>
      </x:c>
      <x:c r="C6" s="17" t="str">
        <x:v>anthropics</x:v>
      </x:c>
      <x:c r="D6" s="17" t="str">
        <x:v>Apache-2.0</x:v>
      </x:c>
      <x:c r="E6" s="19" t="n">
        <x:v>1</x:v>
      </x:c>
      <x:c r="F6" s="19" t="n">
        <x:f>COUNTIF('AI技能清单'!$P$5:$P$23,A6)</x:f>
        <x:v>1</x:v>
      </x:c>
      <x:c r="G6" s="19" t="str">
        <x:v>SB-A</x:v>
      </x:c>
      <x:c r="H6" s="17" t="str">
        <x:v>https://github.com/anthropics/k12-teacher-skills/blob/6fc400329540e068516bd34aa78120d89e5e4e8b/plugin/skills/k12-lesson-planning/SKILL.md</x:v>
      </x:c>
    </x:row>
    <x:row r="7">
      <x:c r="A7" s="17" t="str">
        <x:v>FerroxLabs/wayland</x:v>
      </x:c>
      <x:c r="B7" s="17" t="str">
        <x:v>GitHub 固定提交版本</x:v>
      </x:c>
      <x:c r="C7" s="17" t="str">
        <x:v>FerroxLabs</x:v>
      </x:c>
      <x:c r="D7" s="17" t="str">
        <x:v>Apache-2.0</x:v>
      </x:c>
      <x:c r="E7" s="19" t="n">
        <x:v>1</x:v>
      </x:c>
      <x:c r="F7" s="19" t="n">
        <x:f>COUNTIF('AI技能清单'!$P$5:$P$23,A7)</x:f>
        <x:v>1</x:v>
      </x:c>
      <x:c r="G7" s="19" t="str">
        <x:v>SA</x:v>
      </x:c>
      <x:c r="H7" s="17" t="str">
        <x:v>https://github.com/FerroxLabs/wayland/blob/b3cd0511a4406d5e837db9d7e42e395c08387baf/src/process/resources/skills-library/bodies/skills/education/lesson-plan-design/SKILL.md</x:v>
      </x:c>
    </x:row>
    <x:row r="8">
      <x:c r="A8" s="17" t="str">
        <x:v>GarethManning/education-agent-skills</x:v>
      </x:c>
      <x:c r="B8" s="17" t="str">
        <x:v>GitHub 固定提交版本</x:v>
      </x:c>
      <x:c r="C8" s="17" t="str">
        <x:v>GarethManning</x:v>
      </x:c>
      <x:c r="D8" s="17" t="str">
        <x:v>CC-BY-SA-4.0</x:v>
      </x:c>
      <x:c r="E8" s="19" t="n">
        <x:v>1</x:v>
      </x:c>
      <x:c r="F8" s="19" t="n">
        <x:f>COUNTIF('AI技能清单'!$P$5:$P$23,A8)</x:f>
        <x:v>10</x:v>
      </x:c>
      <x:c r="G8" s="19" t="str">
        <x:v>SA</x:v>
      </x:c>
      <x:c r="H8" s="17" t="str">
        <x:v>https://github.com/GarethManning/education-agent-skills/blob/34702c1c1465389192e760e5faa4476d234f9122/skills/ai-literacy/disciplinary-ai-literacy-sequence-designer/SKILL.md</x:v>
      </x:c>
    </x:row>
    <x:row r="9">
      <x:c r="A9" s="17" t="str">
        <x:v>Jellypod-Inc/school-skills</x:v>
      </x:c>
      <x:c r="B9" s="17" t="str">
        <x:v>GitHub 固定提交版本</x:v>
      </x:c>
      <x:c r="C9" s="17" t="str">
        <x:v>Jellypod-Inc</x:v>
      </x:c>
      <x:c r="D9" s="17" t="str">
        <x:v>MIT</x:v>
      </x:c>
      <x:c r="E9" s="19" t="n">
        <x:v>1</x:v>
      </x:c>
      <x:c r="F9" s="19" t="n">
        <x:f>COUNTIF('AI技能清单'!$P$5:$P$23,A9)</x:f>
        <x:v>1</x:v>
      </x:c>
      <x:c r="G9" s="19" t="str">
        <x:v>SA</x:v>
      </x:c>
      <x:c r="H9" s="17" t="str">
        <x:v>https://github.com/Jellypod-Inc/school-skills/blob/cd484795e924e454caafd13ddc25c1ec76c48718/skills/lesson-plan/SKILL.md</x:v>
      </x:c>
    </x:row>
    <x:row r="10">
      <x:c r="A10" s="17" t="str">
        <x:v>mohitagw15856/pm-claude-skills</x:v>
      </x:c>
      <x:c r="B10" s="17" t="str">
        <x:v>GitHub 固定提交版本</x:v>
      </x:c>
      <x:c r="C10" s="17" t="str">
        <x:v>mohitagw15856</x:v>
      </x:c>
      <x:c r="D10" s="17" t="str">
        <x:v>MIT</x:v>
      </x:c>
      <x:c r="E10" s="19" t="n">
        <x:v>1</x:v>
      </x:c>
      <x:c r="F10" s="19" t="n">
        <x:f>COUNTIF('AI技能清单'!$P$5:$P$23,A10)</x:f>
        <x:v>3</x:v>
      </x:c>
      <x:c r="G10" s="19" t="str">
        <x:v>SA</x:v>
      </x:c>
      <x:c r="H10" s="17" t="str">
        <x:v>https://github.com/mohitagw15856/pm-claude-skills/blob/fddfbc4a6caa8b4d3d41a69c666efaaff9d42def/skills/lesson-plan/SKILL.md</x:v>
      </x:c>
    </x:row>
    <x:row r="11">
      <x:c r="A11" s="17" t="str">
        <x:v>sickn33/agentic-awesome-skills</x:v>
      </x:c>
      <x:c r="B11" s="17" t="str">
        <x:v>GitHub 固定提交版本</x:v>
      </x:c>
      <x:c r="C11" s="17" t="str">
        <x:v>sickn33</x:v>
      </x:c>
      <x:c r="D11" s="17" t="str">
        <x:v>MIT</x:v>
      </x:c>
      <x:c r="E11" s="19" t="n">
        <x:v>1</x:v>
      </x:c>
      <x:c r="F11" s="19" t="n">
        <x:f>COUNTIF('AI技能清单'!$P$5:$P$23,A11)</x:f>
        <x:v>1</x:v>
      </x:c>
      <x:c r="G11" s="19" t="str">
        <x:v>SB</x:v>
      </x:c>
      <x:c r="H11" s="17" t="str">
        <x:v>https://github.com/sickn33/agentic-awesome-skills/blob/75c558b7ea89a023877b96eac74ced7aa1ee93f6/skills/lesson-generator/SKILL.md</x:v>
      </x:c>
    </x:row>
    <x:row r="12">
      <x:c r="A12" s="17" t="str">
        <x:v>YujxZJCN/teaching-skills</x:v>
      </x:c>
      <x:c r="B12" s="17" t="str">
        <x:v>GitHub 固定提交版本</x:v>
      </x:c>
      <x:c r="C12" s="17" t="str">
        <x:v>YujxZJCN</x:v>
      </x:c>
      <x:c r="D12" s="17" t="str">
        <x:v>MIT</x:v>
      </x:c>
      <x:c r="E12" s="19" t="n">
        <x:v>1</x:v>
      </x:c>
      <x:c r="F12" s="19" t="n">
        <x:f>COUNTIF('AI技能清单'!$P$5:$P$23,A12)</x:f>
        <x:v>1</x:v>
      </x:c>
      <x:c r="G12" s="19" t="str">
        <x:v>SA</x:v>
      </x:c>
      <x:c r="H12" s="17" t="str">
        <x:v>https://github.com/YujxZJCN/teaching-skills/blob/50258caf73fb0495adc725864fdf278a3072716c/lesson-builder/SKILL.md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d8dc0bd5739428c"/>
  </x:tableParts>
</x:worksheet>
</file>