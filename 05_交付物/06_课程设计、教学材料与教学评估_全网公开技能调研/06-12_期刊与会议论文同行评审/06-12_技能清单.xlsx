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5946c84f9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bfa6a6b553944b16"/>
    <x:sheet xmlns:r="http://schemas.openxmlformats.org/officeDocument/2006/relationships" name="AI技能清单" sheetId="2" r:id="Rfcb490ccd2d749f2"/>
    <x:sheet xmlns:r="http://schemas.openxmlformats.org/officeDocument/2006/relationships" name="分类统计" sheetId="3" r:id="Rd73bc40502d040d2"/>
    <x:sheet xmlns:r="http://schemas.openxmlformats.org/officeDocument/2006/relationships" name="来源清单" sheetId="4" r:id="R4ace39b5f2d7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EEF"/>
      </x:patternFill>
    </x:fill>
    <x:fill>
      <x:patternFill patternType="solid">
        <x:fgColor rgb="FF187B8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C9D2DA"/>
      </x:left>
      <x:right style="thin">
        <x:color rgb="FFC9D2DA"/>
      </x:right>
      <x:top style="thin">
        <x:color rgb="FFC9D2DA"/>
      </x:top>
      <x:bottom style="thin">
        <x:color rgb="FFC9D2D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E0F1E7"/>
        </x:patternFill>
      </x:fill>
    </x:dxf>
    <x:dxf>
      <x:font>
        <x:b/>
      </x:font>
      <x:fill>
        <x:patternFill patternType="solid">
          <x:bgColor rgb="FFFFF3D6"/>
        </x:patternFill>
      </x:fill>
    </x:dxf>
    <x:dxf>
      <x:font>
        <x:b/>
      </x:font>
      <x:fill>
        <x:patternFill patternType="solid">
          <x:bgColor rgb="FFFB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90de032e14d84" /><Relationship Type="http://schemas.openxmlformats.org/officeDocument/2006/relationships/theme" Target="/xl/theme/theme1.xml" Id="Rb2e4cdcf6b544a23" /><Relationship Type="http://schemas.openxmlformats.org/officeDocument/2006/relationships/sharedStrings" Target="/xl/sharedStrings.xml" Id="Rf12bb7a625fa4e45" /><Relationship Type="http://schemas.openxmlformats.org/officeDocument/2006/relationships/worksheet" Target="/xl/worksheets/sheet1.xml" Id="Rbfa6a6b553944b16" /><Relationship Type="http://schemas.openxmlformats.org/officeDocument/2006/relationships/worksheet" Target="/xl/worksheets/sheet2.xml" Id="Rfcb490ccd2d749f2" /><Relationship Type="http://schemas.openxmlformats.org/officeDocument/2006/relationships/worksheet" Target="/xl/worksheets/sheet3.xml" Id="Rd73bc40502d040d2" /><Relationship Type="http://schemas.openxmlformats.org/officeDocument/2006/relationships/worksheet" Target="/xl/worksheets/sheet4.xml" Id="R4ace39b5f2d7411f" /></Relationships>
</file>

<file path=xl/tables/table1.xml><?xml version="1.0" encoding="utf-8"?>
<x:table xmlns:x="http://schemas.openxmlformats.org/spreadsheetml/2006/main" id="1" name="FD06Skills0612" displayName="FD06Skills0612" ref="A4:S38" headerRowCount="1" totalsRowCount="0" totalsRowShown="0">
  <x:tableColumns count="19">
    <x:tableColumn id="1" name="序号"/>
    <x:tableColumn id="2" name="Skill ID"/>
    <x:tableColumn id="3" name="Skill名称"/>
    <x:tableColumn id="4" name="主要小分类"/>
    <x:tableColumn id="5" name="简略功能"/>
    <x:tableColumn id="6" name="适用对象"/>
    <x:tableColumn id="7" name="典型场景"/>
    <x:tableColumn id="8" name="需要准备"/>
    <x:tableColumn id="9" name="可得到"/>
    <x:tableColumn id="10" name="采用建议"/>
    <x:tableColumn id="11" name="安全等级"/>
    <x:tableColumn id="12" name="安全说明"/>
    <x:tableColumn id="13" name="许可证"/>
    <x:tableColumn id="14" name="来源平台"/>
    <x:tableColumn id="15" name="维护者"/>
    <x:tableColumn id="16" name="仓库或项目"/>
    <x:tableColumn id="17" name="固定版本"/>
    <x:tableColumn id="18" name="核验日期"/>
    <x:tableColumn id="19" name="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D06Sources0612" displayName="FD06Sources0612" ref="A4:H27" headerRowCount="1" totalsRowCount="0" totalsRowShown="0">
  <x:tableColumns count="8">
    <x:tableColumn id="1" name="来源项目"/>
    <x:tableColumn id="2" name="来源平台"/>
    <x:tableColumn id="3" name="维护者"/>
    <x:tableColumn id="4" name="许可证"/>
    <x:tableColumn id="5" name="固定版本数"/>
    <x:tableColumn id="6" name="正式技能数"/>
    <x:tableColumn id="7" name="安全等级"/>
    <x:tableColumn id="8" name="示例地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bb70c54ca944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353b156a9964a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78" hidden="0" customWidth="1"/>
    <x:col min="3" max="3" width="32" hidden="0" customWidth="1"/>
    <x:col min="4" max="4" width="32" hidden="0" customWidth="1"/>
  </x:cols>
  <x:sheetData>
    <x:row r="1" ht="36" customHeight="1">
      <x:c r="A1" s="3" t="str">
        <x:v>06-12 期刊与会议论文同行评审｜使用说明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全网公开来源｜仅含通过静态安全准入的正式技能｜核验日期截至 2026-08-09</x:v>
      </x:c>
      <x:c r="B2" s="5"/>
      <x:c r="C2" s="5"/>
      <x:c r="D2" s="5"/>
      <x:c r="E2" s="5"/>
      <x:c r="F2" s="5"/>
      <x:c r="G2" s="5"/>
      <x:c r="H2" s="5"/>
    </x:row>
    <x:row r="4">
      <x:c r="A4" s="8" t="str">
        <x:v>项目</x:v>
      </x:c>
      <x:c r="B4" s="8" t="str">
        <x:v>通俗说明</x:v>
      </x:c>
    </x:row>
    <x:row r="5">
      <x:c r="A5" s="11" t="str">
        <x:v>本表用途</x:v>
      </x:c>
      <x:c r="B5" s="12" t="str">
        <x:v>帮助教师、助教、教学管理人员、导师和评审人员按实际任务筛选可参考的 AI 技能。</x:v>
      </x:c>
    </x:row>
    <x:row r="6">
      <x:c r="A6" s="11" t="str">
        <x:v>正式数量</x:v>
      </x:c>
      <x:c r="B6" s="12" t="n">
        <x:v>34</x:v>
      </x:c>
    </x:row>
    <x:row r="7">
      <x:c r="A7" s="11" t="str">
        <x:v>收录范围</x:v>
      </x:c>
      <x:c r="B7" s="12" t="str">
        <x:v>06-12 期刊与会议论文同行评审</x:v>
      </x:c>
    </x:row>
    <x:row r="8">
      <x:c r="A8" s="11" t="str">
        <x:v>来源范围</x:v>
      </x:c>
      <x:c r="B8" s="12" t="str">
        <x:v>全网公开来源，包括 GitHub、Hugging Face Space、ClawHub 等公开平台。</x:v>
      </x:c>
    </x:row>
    <x:row r="9">
      <x:c r="A9" s="11" t="str">
        <x:v>安全检查</x:v>
      </x:c>
      <x:c r="B9" s="12" t="str">
        <x:v>逐项固定版本读取说明、许可证和包内文件，并做静态安全审查。</x:v>
      </x:c>
    </x:row>
    <x:row r="10">
      <x:c r="A10" s="11" t="str">
        <x:v>运行状态</x:v>
      </x:c>
      <x:c r="B10" s="12" t="str">
        <x:v>未安装、未运行；只有用户另行明确指令后才可开展运行验证。</x:v>
      </x:c>
    </x:row>
    <x:row r="11">
      <x:c r="A11" s="11" t="str">
        <x:v>不含内容</x:v>
      </x:c>
      <x:c r="B11" s="12" t="str">
        <x:v>落选、重复、SC 和 SX 条目不进入本工作簿。</x:v>
      </x:c>
    </x:row>
    <x:row r="12">
      <x:c r="A12" s="11" t="str">
        <x:v>重要边界</x:v>
      </x:c>
      <x:c r="B12" s="12" t="str">
        <x:v>涉及成绩、学生权益、未公开论文、个人信息或最终评价决定时，必须由有权限人员复核。</x:v>
      </x:c>
    </x:row>
    <x:row r="14">
      <x:c r="A14" s="13" t="str">
        <x:v>安全等级与采用建议</x:v>
      </x:c>
      <x:c r="B14" s="13"/>
      <x:c r="C14" s="13"/>
      <x:c r="D14" s="13"/>
      <x:c r="E14" s="13"/>
      <x:c r="F14" s="13"/>
      <x:c r="G14" s="13"/>
      <x:c r="H14" s="13"/>
    </x:row>
    <x:row r="15">
      <x:c r="A15" s="14" t="str">
        <x:v>等级</x:v>
      </x:c>
      <x:c r="B15" s="14" t="str">
        <x:v>本次建议</x:v>
      </x:c>
      <x:c r="C15" s="14" t="str">
        <x:v>通俗含义</x:v>
      </x:c>
      <x:c r="D15" s="14" t="str">
        <x:v>使用前应做什么</x:v>
      </x:c>
    </x:row>
    <x:row r="16">
      <x:c r="A16" s="12" t="str">
        <x:v>SA</x:v>
      </x:c>
      <x:c r="B16" s="12" t="str">
        <x:v>可直接使用</x:v>
      </x:c>
      <x:c r="C16" s="12" t="str">
        <x:v>静态检查未发现阻断性问题。</x:v>
      </x:c>
      <x:c r="D16" s="12" t="str">
        <x:v>仍需按本校制度和实际任务复核输出。</x:v>
      </x:c>
    </x:row>
    <x:row r="17">
      <x:c r="A17" s="12" t="str">
        <x:v>SB</x:v>
      </x:c>
      <x:c r="B17" s="12" t="str">
        <x:v>需要少量调整</x:v>
      </x:c>
      <x:c r="C17" s="12" t="str">
        <x:v>基本可用，但要替换少量工具、路径、模板或规则。</x:v>
      </x:c>
      <x:c r="D17" s="12" t="str">
        <x:v>完成列出的调整并进行人工复核。</x:v>
      </x:c>
    </x:row>
    <x:row r="18">
      <x:c r="A18" s="12" t="str">
        <x:v>SB-A</x:v>
      </x:c>
      <x:c r="B18" s="12" t="str">
        <x:v>需要重新改造</x:v>
      </x:c>
      <x:c r="C18" s="12" t="str">
        <x:v>原项目不能直接接入学校环境。</x:v>
      </x:c>
      <x:c r="D18" s="12" t="str">
        <x:v>先删除或改写高风险步骤，再单独测试和审批。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4" hidden="0" customWidth="1"/>
    <x:col min="3" max="3" width="25" hidden="0" customWidth="1"/>
    <x:col min="4" max="4" width="28" hidden="0" customWidth="1"/>
    <x:col min="5" max="5" width="48" hidden="0" customWidth="1"/>
    <x:col min="6" max="6" width="25" hidden="0" customWidth="1"/>
    <x:col min="7" max="7" width="46" hidden="0" customWidth="1"/>
    <x:col min="8" max="8" width="38" hidden="0" customWidth="1"/>
    <x:col min="9" max="9" width="38" hidden="0" customWidth="1"/>
    <x:col min="10" max="10" width="16" hidden="0" customWidth="1"/>
    <x:col min="11" max="11" width="12" hidden="0" customWidth="1"/>
    <x:col min="12" max="12" width="48" hidden="0" customWidth="1"/>
    <x:col min="13" max="13" width="18" hidden="0" customWidth="1"/>
    <x:col min="14" max="14" width="28" hidden="0" customWidth="1"/>
    <x:col min="15" max="15" width="22" hidden="0" customWidth="1"/>
    <x:col min="16" max="16" width="32" hidden="0" customWidth="1"/>
    <x:col min="17" max="17" width="24" hidden="0" customWidth="1"/>
    <x:col min="18" max="18" width="14" hidden="0" customWidth="1"/>
    <x:col min="19" max="19" width="58" hidden="0" customWidth="1"/>
  </x:cols>
  <x:sheetData>
    <x:row r="1" ht="36" customHeight="1">
      <x:c r="A1" s="3" t="str">
        <x:v>06-12 期刊与会议论文同行评审｜正式 AI 技能清单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5" t="str">
        <x:v>共 34 项；所有功能说明均采用非计算机背景用户可直接理解的表述。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4" ht="34" customHeight="1">
      <x:c r="A4" s="14" t="str">
        <x:v>序号</x:v>
      </x:c>
      <x:c r="B4" s="14" t="str">
        <x:v>Skill ID</x:v>
      </x:c>
      <x:c r="C4" s="14" t="str">
        <x:v>Skill名称</x:v>
      </x:c>
      <x:c r="D4" s="14" t="str">
        <x:v>主要小分类</x:v>
      </x:c>
      <x:c r="E4" s="14" t="str">
        <x:v>简略功能</x:v>
      </x:c>
      <x:c r="F4" s="14" t="str">
        <x:v>适用对象</x:v>
      </x:c>
      <x:c r="G4" s="14" t="str">
        <x:v>典型场景</x:v>
      </x:c>
      <x:c r="H4" s="14" t="str">
        <x:v>需要准备</x:v>
      </x:c>
      <x:c r="I4" s="14" t="str">
        <x:v>可得到</x:v>
      </x:c>
      <x:c r="J4" s="14" t="str">
        <x:v>采用建议</x:v>
      </x:c>
      <x:c r="K4" s="14" t="str">
        <x:v>安全等级</x:v>
      </x:c>
      <x:c r="L4" s="14" t="str">
        <x:v>安全说明</x:v>
      </x:c>
      <x:c r="M4" s="14" t="str">
        <x:v>许可证</x:v>
      </x:c>
      <x:c r="N4" s="14" t="str">
        <x:v>来源平台</x:v>
      </x:c>
      <x:c r="O4" s="14" t="str">
        <x:v>维护者</x:v>
      </x:c>
      <x:c r="P4" s="14" t="str">
        <x:v>仓库或项目</x:v>
      </x:c>
      <x:c r="Q4" s="14" t="str">
        <x:v>固定版本</x:v>
      </x:c>
      <x:c r="R4" s="14" t="str">
        <x:v>核验日期</x:v>
      </x:c>
      <x:c r="S4" s="14" t="str">
        <x:v>地址</x:v>
      </x:c>
    </x:row>
    <x:row r="5" ht="64" customHeight="1">
      <x:c r="A5" s="18" t="n">
        <x:v>1</x:v>
      </x:c>
      <x:c r="B5" s="18" t="str">
        <x:v>FD-06-0265</x:v>
      </x:c>
      <x:c r="C5" s="17" t="str">
        <x:v>academic-paper-review</x:v>
      </x:c>
      <x:c r="D5" s="17" t="str">
        <x:v>06-12 期刊与会议论文同行评审</x:v>
      </x:c>
      <x:c r="E5" s="17" t="str">
        <x:v>这个技能主要用于期刊与会议论文同行评审。它可以帮助使用者准备阅读清单和阅读提示、生成具体、可执行的学习反馈、检查课程或教学材料质量、准备同行评审或审稿意见。</x:v>
      </x:c>
      <x:c r="F5" s="17" t="str">
        <x:v>期刊审稿人、会议评审人、研究人员、编辑</x:v>
      </x:c>
      <x:c r="G5" s="17" t="str">
        <x:v>需要为获准评阅的期刊或会议稿件准备同行评审草稿，或在投稿前模拟审稿时</x:v>
      </x:c>
      <x:c r="H5" s="17" t="str">
        <x:v>获准使用的去标识稿件、期刊或会议要求、评审表和报告规范</x:v>
      </x:c>
      <x:c r="I5" s="17" t="str">
        <x:v>同行评审草稿、主要问题、次要问题、方法与统计检查、修改优先级和供评审人确认的建议</x:v>
      </x:c>
      <x:c r="J5" s="19" t="str">
        <x:v>需要重新改造</x:v>
      </x:c>
      <x:c r="K5" s="19" t="str">
        <x:v>SB-A</x:v>
      </x:c>
      <x:c r="L5" s="17" t="str">
        <x:v>安全等级 SB-A：原包含需要删减或重写的网络、数据、自动决定或权限步骤；正式库只能收录明确列出改造要求的适配方案。</x:v>
      </x:c>
      <x:c r="M5" s="17" t="str">
        <x:v>MIT</x:v>
      </x:c>
      <x:c r="N5" s="17" t="str">
        <x:v>GitHub 固定提交版本</x:v>
      </x:c>
      <x:c r="O5" s="17" t="str">
        <x:v>bytedance</x:v>
      </x:c>
      <x:c r="P5" s="17" t="str">
        <x:v>bytedance/deer-flow</x:v>
      </x:c>
      <x:c r="Q5" s="19" t="str">
        <x:v>e16ef2969b1446162e19af7bdde1446674851e66</x:v>
      </x:c>
      <x:c r="R5" s="19" t="str">
        <x:v>2026-08-09</x:v>
      </x:c>
      <x:c r="S5" s="17" t="str">
        <x:v>https://github.com/bytedance/deer-flow/blob/e16ef2969b1446162e19af7bdde1446674851e66/skills/public/academic-paper-review/SKILL.md</x:v>
      </x:c>
    </x:row>
    <x:row r="6" ht="64" customHeight="1">
      <x:c r="A6" s="18" t="n">
        <x:v>2</x:v>
      </x:c>
      <x:c r="B6" s="18" t="str">
        <x:v>FD-06-0266</x:v>
      </x:c>
      <x:c r="C6" s="17" t="str">
        <x:v>academic-paper-reviewer</x:v>
      </x:c>
      <x:c r="D6" s="17" t="str">
        <x:v>06-12 期刊与会议论文同行评审</x:v>
      </x:c>
      <x:c r="E6" s="17" t="str">
        <x:v>这个技能主要用于期刊与会议论文同行评审。它可以帮助使用者准备讨论、提问或辩论活动、准备同行评审或审稿意见、检查研究方法是否合适和完整、检查研究问题、方法和证据。</x:v>
      </x:c>
      <x:c r="F6" s="17" t="str">
        <x:v>期刊审稿人、会议评审人、研究人员、编辑</x:v>
      </x:c>
      <x:c r="G6" s="17" t="str">
        <x:v>需要为获准评阅的期刊或会议稿件准备同行评审草稿，或在投稿前模拟审稿时</x:v>
      </x:c>
      <x:c r="H6" s="17" t="str">
        <x:v>获准使用的去标识稿件、期刊或会议要求、评审表和报告规范</x:v>
      </x:c>
      <x:c r="I6" s="17" t="str">
        <x:v>同行评审草稿、主要问题、次要问题、方法与统计检查、修改优先级和供评审人确认的建议</x:v>
      </x:c>
      <x:c r="J6" s="19" t="str">
        <x:v>需要重新改造</x:v>
      </x:c>
      <x:c r="K6" s="19" t="str">
        <x:v>SB-A</x:v>
      </x:c>
      <x:c r="L6" s="17" t="str">
        <x:v>安全等级 SB-A：原包含需要删减或重写的网络、数据、自动决定或权限步骤；正式库只能收录明确列出改造要求的适配方案。</x:v>
      </x:c>
      <x:c r="M6" s="17" t="str">
        <x:v>CC-BY-NC-4.0</x:v>
      </x:c>
      <x:c r="N6" s="17" t="str">
        <x:v>GitHub 固定提交版本</x:v>
      </x:c>
      <x:c r="O6" s="17" t="str">
        <x:v>Imbad0202</x:v>
      </x:c>
      <x:c r="P6" s="17" t="str">
        <x:v>Imbad0202/academic-research-skills</x:v>
      </x:c>
      <x:c r="Q6" s="19" t="str">
        <x:v>033491c1b6b7fc4a31a8ccaa0c5231f00350bf22</x:v>
      </x:c>
      <x:c r="R6" s="19" t="str">
        <x:v>2026-08-09</x:v>
      </x:c>
      <x:c r="S6" s="17" t="str">
        <x:v>https://github.com/Imbad0202/academic-research-skills/blob/033491c1b6b7fc4a31a8ccaa0c5231f00350bf22/academic-paper-reviewer/SKILL.md</x:v>
      </x:c>
    </x:row>
    <x:row r="7" ht="64" customHeight="1">
      <x:c r="A7" s="18" t="n">
        <x:v>3</x:v>
      </x:c>
      <x:c r="B7" s="18" t="str">
        <x:v>FD-06-0267</x:v>
      </x:c>
      <x:c r="C7" s="17" t="str">
        <x:v>academic-review</x:v>
      </x:c>
      <x:c r="D7" s="17" t="str">
        <x:v>06-12 期刊与会议论文同行评审</x:v>
      </x:c>
      <x:c r="E7" s="17" t="str">
        <x:v>这个技能主要用于期刊与会议论文同行评审。它可以帮助使用者生成具体、可执行的学习反馈、检查课程或教学材料质量、准备同行评审或审稿意见、检查研究问题、方法和证据。</x:v>
      </x:c>
      <x:c r="F7" s="17" t="str">
        <x:v>期刊审稿人、会议评审人、研究人员、编辑</x:v>
      </x:c>
      <x:c r="G7" s="17" t="str">
        <x:v>需要为获准评阅的期刊或会议稿件准备同行评审草稿，或在投稿前模拟审稿时</x:v>
      </x:c>
      <x:c r="H7" s="17" t="str">
        <x:v>获准使用的去标识稿件、期刊或会议要求、评审表和报告规范</x:v>
      </x:c>
      <x:c r="I7" s="17" t="str">
        <x:v>同行评审草稿、主要问题、次要问题、方法与统计检查、修改优先级和供评审人确认的建议</x:v>
      </x:c>
      <x:c r="J7" s="19" t="str">
        <x:v>可直接使用</x:v>
      </x:c>
      <x:c r="K7" s="19" t="str">
        <x:v>SA</x:v>
      </x:c>
      <x:c r="L7" s="17" t="str">
        <x:v>安全等级 SA：固定版本主要由说明、清单或模板组成，静态检查未发现账号、外部写回或可执行载荷方面的阻断性问题。</x:v>
      </x:c>
      <x:c r="M7" s="17" t="str">
        <x:v>PolyForm-Noncommercial-1.0.0</x:v>
      </x:c>
      <x:c r="N7" s="17" t="str">
        <x:v>GitHub 固定提交版本</x:v>
      </x:c>
      <x:c r="O7" s="17" t="str">
        <x:v>MattArtzAnthro</x:v>
      </x:c>
      <x:c r="P7" s="17" t="str">
        <x:v>MattArtzAnthro/AI-Anthropology-Toolkit</x:v>
      </x:c>
      <x:c r="Q7" s="19" t="str">
        <x:v>271f47d5c64e6fdfe39846441787e3db1c7284a4</x:v>
      </x:c>
      <x:c r="R7" s="19" t="str">
        <x:v>2026-08-09</x:v>
      </x:c>
      <x:c r="S7" s="17" t="str">
        <x:v>https://github.com/MattArtzAnthro/AI-Anthropology-Toolkit/blob/271f47d5c64e6fdfe39846441787e3db1c7284a4/skills/academic-review/SKILL.md</x:v>
      </x:c>
    </x:row>
    <x:row r="8" ht="64" customHeight="1">
      <x:c r="A8" s="18" t="n">
        <x:v>4</x:v>
      </x:c>
      <x:c r="B8" s="18" t="str">
        <x:v>FD-06-0268</x:v>
      </x:c>
      <x:c r="C8" s="17" t="str">
        <x:v>academic-review</x:v>
      </x:c>
      <x:c r="D8" s="17" t="str">
        <x:v>06-12 期刊与会议论文同行评审</x:v>
      </x:c>
      <x:c r="E8" s="17" t="str">
        <x:v>这个技能主要用于期刊与会议论文同行评审。它可以帮助使用者检查研究问题、方法和证据、提出具体、可执行的修改意见、形成结构化同行评审草稿。</x:v>
      </x:c>
      <x:c r="F8" s="17" t="str">
        <x:v>期刊审稿人、会议评审人、研究人员、编辑</x:v>
      </x:c>
      <x:c r="G8" s="17" t="str">
        <x:v>需要为获准评阅的期刊或会议稿件准备同行评审草稿，或在投稿前模拟审稿时</x:v>
      </x:c>
      <x:c r="H8" s="17" t="str">
        <x:v>获准使用的去标识稿件、期刊或会议要求、评审表和报告规范</x:v>
      </x:c>
      <x:c r="I8" s="17" t="str">
        <x:v>同行评审草稿、主要问题、次要问题、方法与统计检查、修改优先级和供评审人确认的建议</x:v>
      </x:c>
      <x:c r="J8" s="19" t="str">
        <x:v>需要重新改造</x:v>
      </x:c>
      <x:c r="K8" s="19" t="str">
        <x:v>SB-A</x:v>
      </x:c>
      <x:c r="L8" s="17" t="str">
        <x:v>安全等级 SB-A：原包含需要删减或重写的网络、数据、自动决定或权限步骤；正式库只能收录明确列出改造要求的适配方案。</x:v>
      </x:c>
      <x:c r="M8" s="17" t="str">
        <x:v>MIT</x:v>
      </x:c>
      <x:c r="N8" s="17" t="str">
        <x:v>GitHub 固定提交版本</x:v>
      </x:c>
      <x:c r="O8" s="17" t="str">
        <x:v>pengkangzhen</x:v>
      </x:c>
      <x:c r="P8" s="17" t="str">
        <x:v>pengkangzhen/academic-review-skill</x:v>
      </x:c>
      <x:c r="Q8" s="19" t="str">
        <x:v>c5a26d9711d455305f1a87229bd5210d0a0d3b4c</x:v>
      </x:c>
      <x:c r="R8" s="19" t="str">
        <x:v>2026-08-09</x:v>
      </x:c>
      <x:c r="S8" s="17" t="str">
        <x:v>https://github.com/pengkangzhen/academic-review-skill/blob/c5a26d9711d455305f1a87229bd5210d0a0d3b4c/skills/academic-reviewer-or/SKILL.md</x:v>
      </x:c>
    </x:row>
    <x:row r="9" ht="64" customHeight="1">
      <x:c r="A9" s="18" t="n">
        <x:v>5</x:v>
      </x:c>
      <x:c r="B9" s="18" t="str">
        <x:v>FD-06-0269</x:v>
      </x:c>
      <x:c r="C9" s="17" t="str">
        <x:v>alterlab-paper-reviewer</x:v>
      </x:c>
      <x:c r="D9" s="17" t="str">
        <x:v>06-12 期刊与会议论文同行评审</x:v>
      </x:c>
      <x:c r="E9" s="17" t="str">
        <x:v>这个技能主要用于期刊与会议论文同行评审。它可以帮助使用者设计实验或实践步骤、准备讨论、提问或辩论活动、按标准检查作业并提出分数建议、设计或使用评分量规。</x:v>
      </x:c>
      <x:c r="F9" s="17" t="str">
        <x:v>期刊审稿人、会议评审人、研究人员、编辑</x:v>
      </x:c>
      <x:c r="G9" s="17" t="str">
        <x:v>需要为获准评阅的期刊或会议稿件准备同行评审草稿，或在投稿前模拟审稿时</x:v>
      </x:c>
      <x:c r="H9" s="17" t="str">
        <x:v>获准使用的去标识稿件、期刊或会议要求、评审表和报告规范</x:v>
      </x:c>
      <x:c r="I9" s="17" t="str">
        <x:v>同行评审草稿、主要问题、次要问题、方法与统计检查、修改优先级和供评审人确认的建议</x:v>
      </x:c>
      <x:c r="J9" s="19" t="str">
        <x:v>需要重新改造</x:v>
      </x:c>
      <x:c r="K9" s="19" t="str">
        <x:v>SB-A</x:v>
      </x:c>
      <x:c r="L9" s="17" t="str">
        <x:v>安全等级 SB-A：原包含需要删减或重写的网络、数据、自动决定或权限步骤；正式库只能收录明确列出改造要求的适配方案。</x:v>
      </x:c>
      <x:c r="M9" s="17" t="str">
        <x:v>MIT</x:v>
      </x:c>
      <x:c r="N9" s="17" t="str">
        <x:v>GitHub 固定提交版本</x:v>
      </x:c>
      <x:c r="O9" s="17" t="str">
        <x:v>AlterLab-IEU</x:v>
      </x:c>
      <x:c r="P9" s="17" t="str">
        <x:v>AlterLab-IEU/AlterLab-Academic-Skills</x:v>
      </x:c>
      <x:c r="Q9" s="19" t="str">
        <x:v>a0064fd54180541785cd1986ad8eb1689b834270</x:v>
      </x:c>
      <x:c r="R9" s="19" t="str">
        <x:v>2026-08-09</x:v>
      </x:c>
      <x:c r="S9" s="17" t="str">
        <x:v>https://github.com/AlterLab-IEU/AlterLab-Academic-Skills/blob/a0064fd54180541785cd1986ad8eb1689b834270/skills/core/alterlab-paper-reviewer/SKILL.md</x:v>
      </x:c>
    </x:row>
    <x:row r="10" ht="64" customHeight="1">
      <x:c r="A10" s="18" t="n">
        <x:v>6</x:v>
      </x:c>
      <x:c r="B10" s="18" t="str">
        <x:v>FD-06-0270</x:v>
      </x:c>
      <x:c r="C10" s="17" t="str">
        <x:v>alterlab-peer-review</x:v>
      </x:c>
      <x:c r="D10" s="17" t="str">
        <x:v>06-12 期刊与会议论文同行评审</x:v>
      </x:c>
      <x:c r="E10" s="17" t="str">
        <x:v>这个技能主要用于期刊与会议论文同行评审。它可以帮助使用者设计实验或实践步骤、生成具体、可执行的学习反馈、设计或使用评分量规、检查课程或教学材料质量。</x:v>
      </x:c>
      <x:c r="F10" s="17" t="str">
        <x:v>期刊审稿人、会议评审人、研究人员、编辑</x:v>
      </x:c>
      <x:c r="G10" s="17" t="str">
        <x:v>需要为获准评阅的期刊或会议稿件准备同行评审草稿，或在投稿前模拟审稿时</x:v>
      </x:c>
      <x:c r="H10" s="17" t="str">
        <x:v>获准使用的去标识稿件、期刊或会议要求、评审表和报告规范</x:v>
      </x:c>
      <x:c r="I10" s="17" t="str">
        <x:v>同行评审草稿、主要问题、次要问题、方法与统计检查、修改优先级和供评审人确认的建议</x:v>
      </x:c>
      <x:c r="J10" s="19" t="str">
        <x:v>需要重新改造</x:v>
      </x:c>
      <x:c r="K10" s="19" t="str">
        <x:v>SB-A</x:v>
      </x:c>
      <x:c r="L10" s="17" t="str">
        <x:v>安全等级 SB-A：原包含需要删减或重写的网络、数据、自动决定或权限步骤；正式库只能收录明确列出改造要求的适配方案。</x:v>
      </x:c>
      <x:c r="M10" s="17" t="str">
        <x:v>MIT</x:v>
      </x:c>
      <x:c r="N10" s="17" t="str">
        <x:v>GitHub 固定提交版本</x:v>
      </x:c>
      <x:c r="O10" s="17" t="str">
        <x:v>AlterLab-IEU</x:v>
      </x:c>
      <x:c r="P10" s="17" t="str">
        <x:v>AlterLab-IEU/AlterLab-Academic-Skills</x:v>
      </x:c>
      <x:c r="Q10" s="19" t="str">
        <x:v>a0064fd54180541785cd1986ad8eb1689b834270</x:v>
      </x:c>
      <x:c r="R10" s="19" t="str">
        <x:v>2026-08-09</x:v>
      </x:c>
      <x:c r="S10" s="17" t="str">
        <x:v>https://github.com/AlterLab-IEU/AlterLab-Academic-Skills/blob/a0064fd54180541785cd1986ad8eb1689b834270/skills/writing-tools/alterlab-peer-review/SKILL.md</x:v>
      </x:c>
    </x:row>
    <x:row r="11" ht="64" customHeight="1">
      <x:c r="A11" s="18" t="n">
        <x:v>7</x:v>
      </x:c>
      <x:c r="B11" s="18" t="str">
        <x:v>FD-06-0271</x:v>
      </x:c>
      <x:c r="C11" s="17" t="str">
        <x:v>econ-review</x:v>
      </x:c>
      <x:c r="D11" s="17" t="str">
        <x:v>06-12 期刊与会议论文同行评审</x:v>
      </x:c>
      <x:c r="E11" s="17" t="str">
        <x:v>这个技能主要用于期刊与会议论文同行评审。它可以帮助使用者设计实验或实践步骤、按标准检查作业并提出分数建议、检查课程或教学材料质量、准备同行评审或审稿意见。</x:v>
      </x:c>
      <x:c r="F11" s="17" t="str">
        <x:v>期刊审稿人、会议评审人、研究人员、编辑</x:v>
      </x:c>
      <x:c r="G11" s="17" t="str">
        <x:v>需要为获准评阅的期刊或会议稿件准备同行评审草稿，或在投稿前模拟审稿时</x:v>
      </x:c>
      <x:c r="H11" s="17" t="str">
        <x:v>获准使用的去标识稿件、期刊或会议要求、评审表和报告规范</x:v>
      </x:c>
      <x:c r="I11" s="17" t="str">
        <x:v>同行评审草稿、主要问题、次要问题、方法与统计检查、修改优先级和供评审人确认的建议</x:v>
      </x:c>
      <x:c r="J11" s="19" t="str">
        <x:v>需要重新改造</x:v>
      </x:c>
      <x:c r="K11" s="19" t="str">
        <x:v>SB-A</x:v>
      </x:c>
      <x:c r="L11" s="17" t="str">
        <x:v>安全等级 SB-A：自动扫描中的“忽略先前指令”和“凭证”命中来自防范论文提示注入、禁止泄露凭证以及清理日志中的本机路径，并非恶意绕过或窃取秘密。原包仍包含安装下载、子进程、论文文件处理、可选外部检索、第三方 PDF 服务和本地审阅界面，不能直接整包采用，只能收录经过严格删减的适配方案。</x:v>
      </x:c>
      <x:c r="M11" s="17" t="str">
        <x:v>PolyForm-Noncommercial-1.0.0</x:v>
      </x:c>
      <x:c r="N11" s="17" t="str">
        <x:v>GitHub 固定提交版本</x:v>
      </x:c>
      <x:c r="O11" s="17" t="str">
        <x:v>hanlulong</x:v>
      </x:c>
      <x:c r="P11" s="17" t="str">
        <x:v>hanlulong/econ-paper-review-skill</x:v>
      </x:c>
      <x:c r="Q11" s="19" t="str">
        <x:v>de9e5491c7214ba3fde5e5c7e858ea0361371410</x:v>
      </x:c>
      <x:c r="R11" s="19" t="str">
        <x:v>2026-08-09</x:v>
      </x:c>
      <x:c r="S11" s="17" t="str">
        <x:v>https://github.com/hanlulong/econ-paper-review-skill/blob/de9e5491c7214ba3fde5e5c7e858ea0361371410/econ-review/SKILL.md</x:v>
      </x:c>
    </x:row>
    <x:row r="12" ht="64" customHeight="1">
      <x:c r="A12" s="18" t="n">
        <x:v>8</x:v>
      </x:c>
      <x:c r="B12" s="18" t="str">
        <x:v>FD-06-0272</x:v>
      </x:c>
      <x:c r="C12" s="17" t="str">
        <x:v>manuscript-review</x:v>
      </x:c>
      <x:c r="D12" s="17" t="str">
        <x:v>06-12 期刊与会议论文同行评审</x:v>
      </x:c>
      <x:c r="E12" s="17" t="str">
        <x:v>这个技能主要用于期刊与会议论文同行评审。它可以帮助使用者制作多语言或双语教学材料、准备同行评审或审稿意见、检查研究问题、方法和证据、提出具体、可执行的修改意见。</x:v>
      </x:c>
      <x:c r="F12" s="17" t="str">
        <x:v>期刊审稿人、会议评审人、研究人员、编辑</x:v>
      </x:c>
      <x:c r="G12" s="17" t="str">
        <x:v>需要为获准评阅的期刊或会议稿件准备同行评审草稿，或在投稿前模拟审稿时</x:v>
      </x:c>
      <x:c r="H12" s="17" t="str">
        <x:v>获准使用的去标识稿件、期刊或会议要求、评审表和报告规范</x:v>
      </x:c>
      <x:c r="I12" s="17" t="str">
        <x:v>同行评审草稿、主要问题、次要问题、方法与统计检查、修改优先级和供评审人确认的建议</x:v>
      </x:c>
      <x:c r="J12" s="19" t="str">
        <x:v>需要重新改造</x:v>
      </x:c>
      <x:c r="K12" s="19" t="str">
        <x:v>SB-A</x:v>
      </x:c>
      <x:c r="L12" s="17" t="str">
        <x:v>安全等级 SB-A：原包含需要删减或重写的网络、数据、自动决定或权限步骤；正式库只能收录明确列出改造要求的适配方案。</x:v>
      </x:c>
      <x:c r="M12" s="17" t="str">
        <x:v>MIT</x:v>
      </x:c>
      <x:c r="N12" s="17" t="str">
        <x:v>GitHub 固定提交版本</x:v>
      </x:c>
      <x:c r="O12" s="17" t="str">
        <x:v>shaowen-ye</x:v>
      </x:c>
      <x:c r="P12" s="17" t="str">
        <x:v>shaowen-ye/manuscript-review-skill</x:v>
      </x:c>
      <x:c r="Q12" s="19" t="str">
        <x:v>b96f1356d4a8e9c07cd63349f51cd67f6677906c</x:v>
      </x:c>
      <x:c r="R12" s="19" t="str">
        <x:v>2026-08-09</x:v>
      </x:c>
      <x:c r="S12" s="17" t="str">
        <x:v>https://github.com/shaowen-ye/manuscript-review-skill/blob/b96f1356d4a8e9c07cd63349f51cd67f6677906c/SKILL.md</x:v>
      </x:c>
    </x:row>
    <x:row r="13" ht="64" customHeight="1">
      <x:c r="A13" s="18" t="n">
        <x:v>9</x:v>
      </x:c>
      <x:c r="B13" s="18" t="str">
        <x:v>FD-06-0273</x:v>
      </x:c>
      <x:c r="C13" s="17" t="str">
        <x:v>manuscript-writing-review</x:v>
      </x:c>
      <x:c r="D13" s="17" t="str">
        <x:v>06-12 期刊与会议论文同行评审</x:v>
      </x:c>
      <x:c r="E13" s="17" t="str">
        <x:v>这个技能主要用于期刊与会议论文同行评审。它可以帮助使用者检查课程或教学材料质量、检查格式、引文和参考文献、准备同行评审或审稿意见、检查研究方法是否合适和完整。</x:v>
      </x:c>
      <x:c r="F13" s="17" t="str">
        <x:v>期刊审稿人、会议评审人、研究人员、编辑</x:v>
      </x:c>
      <x:c r="G13" s="17" t="str">
        <x:v>需要为获准评阅的期刊或会议稿件准备同行评审草稿，或在投稿前模拟审稿时</x:v>
      </x:c>
      <x:c r="H13" s="17" t="str">
        <x:v>获准使用的去标识稿件、期刊或会议要求、评审表和报告规范</x:v>
      </x:c>
      <x:c r="I13" s="17" t="str">
        <x:v>同行评审草稿、主要问题、次要问题、方法与统计检查、修改优先级和供评审人确认的建议</x:v>
      </x:c>
      <x:c r="J13" s="19" t="str">
        <x:v>需要重新改造</x:v>
      </x:c>
      <x:c r="K13" s="19" t="str">
        <x:v>SB-A</x:v>
      </x:c>
      <x:c r="L13" s="17" t="str">
        <x:v>安全等级 SB-A：原包含需要删减或重写的网络、数据、自动决定或权限步骤；正式库只能收录明确列出改造要求的适配方案。</x:v>
      </x:c>
      <x:c r="M13" s="17" t="str">
        <x:v>CC-BY-4.0</x:v>
      </x:c>
      <x:c r="N13" s="17" t="str">
        <x:v>GitHub 固定提交版本</x:v>
      </x:c>
      <x:c r="O13" s="17" t="str">
        <x:v>labarba</x:v>
      </x:c>
      <x:c r="P13" s="17" t="str">
        <x:v>labarba/sciwrite</x:v>
      </x:c>
      <x:c r="Q13" s="19" t="str">
        <x:v>64b128b88fdaadfd1eb312f42c2ae1475f91b512</x:v>
      </x:c>
      <x:c r="R13" s="19" t="str">
        <x:v>2026-08-09</x:v>
      </x:c>
      <x:c r="S13" s="17" t="str">
        <x:v>https://github.com/labarba/sciwrite/blob/64b128b88fdaadfd1eb312f42c2ae1475f91b512/SKILL.md</x:v>
      </x:c>
    </x:row>
    <x:row r="14" ht="64" customHeight="1">
      <x:c r="A14" s="18" t="n">
        <x:v>10</x:v>
      </x:c>
      <x:c r="B14" s="18" t="str">
        <x:v>FD-06-0274</x:v>
      </x:c>
      <x:c r="C14" s="17" t="str">
        <x:v>nature-reviewer</x:v>
      </x:c>
      <x:c r="D14" s="17" t="str">
        <x:v>06-12 期刊与会议论文同行评审</x:v>
      </x:c>
      <x:c r="E14" s="17" t="str">
        <x:v>这个技能主要用于期刊与会议论文同行评审。它可以帮助使用者设计模拟或角色扮演、评阅课程论文或学位论文、准备同行评审或审稿意见、检查研究问题、方法和证据。</x:v>
      </x:c>
      <x:c r="F14" s="17" t="str">
        <x:v>期刊审稿人、会议评审人、研究人员、编辑</x:v>
      </x:c>
      <x:c r="G14" s="17" t="str">
        <x:v>需要为获准评阅的期刊或会议稿件准备同行评审草稿，或在投稿前模拟审稿时</x:v>
      </x:c>
      <x:c r="H14" s="17" t="str">
        <x:v>获准使用的去标识稿件、期刊或会议要求、评审表和报告规范</x:v>
      </x:c>
      <x:c r="I14" s="17" t="str">
        <x:v>同行评审草稿、主要问题、次要问题、方法与统计检查、修改优先级和供评审人确认的建议</x:v>
      </x:c>
      <x:c r="J14" s="19" t="str">
        <x:v>需要重新改造</x:v>
      </x:c>
      <x:c r="K14" s="19" t="str">
        <x:v>SB-A</x:v>
      </x:c>
      <x:c r="L14" s="17" t="str">
        <x:v>安全等级 SB-A：原包含需要删减或重写的网络、数据、自动决定或权限步骤；正式库只能收录明确列出改造要求的适配方案。</x:v>
      </x:c>
      <x:c r="M14" s="17" t="str">
        <x:v>Apache-2.0</x:v>
      </x:c>
      <x:c r="N14" s="17" t="str">
        <x:v>GitHub 固定提交版本</x:v>
      </x:c>
      <x:c r="O14" s="17" t="str">
        <x:v>Yuan1z0825</x:v>
      </x:c>
      <x:c r="P14" s="17" t="str">
        <x:v>Yuan1z0825/nature-skills</x:v>
      </x:c>
      <x:c r="Q14" s="19" t="str">
        <x:v>adb7b8a5a7d72ed6fe9f71e085785e9972dd8db2</x:v>
      </x:c>
      <x:c r="R14" s="19" t="str">
        <x:v>2026-08-09</x:v>
      </x:c>
      <x:c r="S14" s="17" t="str">
        <x:v>https://github.com/Yuan1z0825/nature-skills/blob/adb7b8a5a7d72ed6fe9f71e085785e9972dd8db2/skills/nature-reviewer/SKILL.md</x:v>
      </x:c>
    </x:row>
    <x:row r="15" ht="64" customHeight="1">
      <x:c r="A15" s="18" t="n">
        <x:v>11</x:v>
      </x:c>
      <x:c r="B15" s="18" t="str">
        <x:v>FD-06-0275</x:v>
      </x:c>
      <x:c r="C15" s="17" t="str">
        <x:v>paper-review</x:v>
      </x:c>
      <x:c r="D15" s="17" t="str">
        <x:v>06-12 期刊与会议论文同行评审</x:v>
      </x:c>
      <x:c r="E15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15" s="17" t="str">
        <x:v>期刊审稿人、会议评审人、研究人员、编辑</x:v>
      </x:c>
      <x:c r="G15" s="17" t="str">
        <x:v>需要为获准评阅的期刊或会议稿件准备同行评审草稿，或在投稿前模拟审稿时</x:v>
      </x:c>
      <x:c r="H15" s="17" t="str">
        <x:v>获准使用的去标识稿件、期刊或会议要求、评审表和报告规范</x:v>
      </x:c>
      <x:c r="I15" s="17" t="str">
        <x:v>同行评审草稿、主要问题、次要问题、方法与统计检查、修改优先级和供评审人确认的建议</x:v>
      </x:c>
      <x:c r="J15" s="19" t="str">
        <x:v>需要重新改造</x:v>
      </x:c>
      <x:c r="K15" s="19" t="str">
        <x:v>SB-A</x:v>
      </x:c>
      <x:c r="L15" s="17" t="str">
        <x:v>安全等级 SB-A：原包含需要删减或重写的网络、数据、自动决定或权限步骤；正式库只能收录明确列出改造要求的适配方案。</x:v>
      </x:c>
      <x:c r="M15" s="17" t="str">
        <x:v>MIT</x:v>
      </x:c>
      <x:c r="N15" s="17" t="str">
        <x:v>GitHub 固定提交版本</x:v>
      </x:c>
      <x:c r="O15" s="17" t="str">
        <x:v>AlexWortega</x:v>
      </x:c>
      <x:c r="P15" s="17" t="str">
        <x:v>AlexWortega/ai-peer-review-skill</x:v>
      </x:c>
      <x:c r="Q15" s="19" t="str">
        <x:v>e4f6a0b2bd4530ebcd69ac90f2bbed5377b14206</x:v>
      </x:c>
      <x:c r="R15" s="19" t="str">
        <x:v>2026-08-09</x:v>
      </x:c>
      <x:c r="S15" s="17" t="str">
        <x:v>https://github.com/AlexWortega/ai-peer-review-skill/blob/e4f6a0b2bd4530ebcd69ac90f2bbed5377b14206/SKILL.md</x:v>
      </x:c>
    </x:row>
    <x:row r="16" ht="64" customHeight="1">
      <x:c r="A16" s="18" t="n">
        <x:v>12</x:v>
      </x:c>
      <x:c r="B16" s="18" t="str">
        <x:v>FD-06-0276</x:v>
      </x:c>
      <x:c r="C16" s="17" t="str">
        <x:v>peer-review</x:v>
      </x:c>
      <x:c r="D16" s="17" t="str">
        <x:v>06-12 期刊与会议论文同行评审</x:v>
      </x:c>
      <x:c r="E16" s="17" t="str">
        <x:v>这个技能主要用于期刊与会议论文同行评审。它可以帮助使用者检查格式、引文和参考文献、准备同行评审或审稿意见、检查研究方法是否合适和完整、检查统计分析和结果解释。</x:v>
      </x:c>
      <x:c r="F16" s="17" t="str">
        <x:v>期刊审稿人、会议评审人、研究人员、编辑</x:v>
      </x:c>
      <x:c r="G16" s="17" t="str">
        <x:v>需要为获准评阅的期刊或会议稿件准备同行评审草稿，或在投稿前模拟审稿时</x:v>
      </x:c>
      <x:c r="H16" s="17" t="str">
        <x:v>获准使用的去标识稿件、期刊或会议要求、评审表和报告规范</x:v>
      </x:c>
      <x:c r="I16" s="17" t="str">
        <x:v>同行评审草稿、主要问题、次要问题、方法与统计检查、修改优先级和供评审人确认的建议</x:v>
      </x:c>
      <x:c r="J16" s="19" t="str">
        <x:v>需要重新改造</x:v>
      </x:c>
      <x:c r="K16" s="19" t="str">
        <x:v>SB-A</x:v>
      </x:c>
      <x:c r="L16" s="17" t="str">
        <x:v>安全等级 SB-A：原包含需要删减或重写的网络、数据、自动决定或权限步骤；正式库只能收录明确列出改造要求的适配方案。</x:v>
      </x:c>
      <x:c r="M16" s="17" t="str">
        <x:v>MIT</x:v>
      </x:c>
      <x:c r="N16" s="17" t="str">
        <x:v>GitHub 固定提交版本</x:v>
      </x:c>
      <x:c r="O16" s="17" t="str">
        <x:v>K-Dense-AI</x:v>
      </x:c>
      <x:c r="P16" s="17" t="str">
        <x:v>K-Dense-AI/scientific-agent-skills</x:v>
      </x:c>
      <x:c r="Q16" s="19" t="str">
        <x:v>991bd993aca4e90891d1f9908ba82ef45d77b6f0</x:v>
      </x:c>
      <x:c r="R16" s="19" t="str">
        <x:v>2026-08-09</x:v>
      </x:c>
      <x:c r="S16" s="17" t="str">
        <x:v>https://github.com/K-Dense-AI/scientific-agent-skills/blob/991bd993aca4e90891d1f9908ba82ef45d77b6f0/skills/peer-review/SKILL.md</x:v>
      </x:c>
    </x:row>
    <x:row r="17" ht="64" customHeight="1">
      <x:c r="A17" s="18" t="n">
        <x:v>13</x:v>
      </x:c>
      <x:c r="B17" s="18" t="str">
        <x:v>FD-06-0277</x:v>
      </x:c>
      <x:c r="C17" s="17" t="str">
        <x:v>peer-review</x:v>
      </x:c>
      <x:c r="D17" s="17" t="str">
        <x:v>06-12 期刊与会议论文同行评审</x:v>
      </x:c>
      <x:c r="E17" s="17" t="str">
        <x:v>这个技能主要用于期刊与会议论文同行评审。它可以帮助使用者生成具体、可执行的学习反馈、设计或使用评分量规、检查课程或教学材料质量、准备同行评审或审稿意见。</x:v>
      </x:c>
      <x:c r="F17" s="17" t="str">
        <x:v>期刊审稿人、会议评审人、研究人员、编辑</x:v>
      </x:c>
      <x:c r="G17" s="17" t="str">
        <x:v>需要为获准评阅的期刊或会议稿件准备同行评审草稿，或在投稿前模拟审稿时</x:v>
      </x:c>
      <x:c r="H17" s="17" t="str">
        <x:v>获准使用的去标识稿件、期刊或会议要求、评审表和报告规范</x:v>
      </x:c>
      <x:c r="I17" s="17" t="str">
        <x:v>同行评审草稿、主要问题、次要问题、方法与统计检查、修改优先级和供评审人确认的建议</x:v>
      </x:c>
      <x:c r="J17" s="19" t="str">
        <x:v>需要重新改造</x:v>
      </x:c>
      <x:c r="K17" s="19" t="str">
        <x:v>SB-A</x:v>
      </x:c>
      <x:c r="L17" s="17" t="str">
        <x:v>安全等级 SB-A：原包含需要删减或重写的网络、数据、自动决定或权限步骤；正式库只能收录明确列出改造要求的适配方案。</x:v>
      </x:c>
      <x:c r="M17" s="17" t="str">
        <x:v>MIT</x:v>
      </x:c>
      <x:c r="N17" s="17" t="str">
        <x:v>GitHub 固定提交版本</x:v>
      </x:c>
      <x:c r="O17" s="17" t="str">
        <x:v>TobiasBlask</x:v>
      </x:c>
      <x:c r="P17" s="17" t="str">
        <x:v>TobiasBlask/open-paper-machine</x:v>
      </x:c>
      <x:c r="Q17" s="19" t="str">
        <x:v>160df4d13d266411f0850c4de7ecdbd93e8b40be</x:v>
      </x:c>
      <x:c r="R17" s="19" t="str">
        <x:v>2026-08-09</x:v>
      </x:c>
      <x:c r="S17" s="17" t="str">
        <x:v>https://github.com/TobiasBlask/open-paper-machine/blob/160df4d13d266411f0850c4de7ecdbd93e8b40be/scientific-skills/peer-review/SKILL.md</x:v>
      </x:c>
    </x:row>
    <x:row r="18" ht="64" customHeight="1">
      <x:c r="A18" s="18" t="n">
        <x:v>14</x:v>
      </x:c>
      <x:c r="B18" s="18" t="str">
        <x:v>FD-06-0278</x:v>
      </x:c>
      <x:c r="C18" s="17" t="str">
        <x:v>peer-review</x:v>
      </x:c>
      <x:c r="D18" s="17" t="str">
        <x:v>06-12 期刊与会议论文同行评审</x:v>
      </x:c>
      <x:c r="E18" s="17" t="str">
        <x:v>这个技能主要用于期刊与会议论文同行评审。它可以帮助使用者检查课程或教学材料质量、准备同行评审或审稿意见、检查研究问题、方法和证据、提出具体、可执行的修改意见。</x:v>
      </x:c>
      <x:c r="F18" s="17" t="str">
        <x:v>期刊审稿人、会议评审人、研究人员、编辑</x:v>
      </x:c>
      <x:c r="G18" s="17" t="str">
        <x:v>需要为获准评阅的期刊或会议稿件准备同行评审草稿，或在投稿前模拟审稿时</x:v>
      </x:c>
      <x:c r="H18" s="17" t="str">
        <x:v>获准使用的去标识稿件、期刊或会议要求、评审表和报告规范</x:v>
      </x:c>
      <x:c r="I18" s="17" t="str">
        <x:v>同行评审草稿、主要问题、次要问题、方法与统计检查、修改优先级和供评审人确认的建议</x:v>
      </x:c>
      <x:c r="J18" s="19" t="str">
        <x:v>需要重新改造</x:v>
      </x:c>
      <x:c r="K18" s="19" t="str">
        <x:v>SB-A</x:v>
      </x:c>
      <x:c r="L18" s="17" t="str">
        <x:v>安全等级 SB-A：原包含需要删减或重写的网络、数据、自动决定或权限步骤；正式库只能收录明确列出改造要求的适配方案。</x:v>
      </x:c>
      <x:c r="M18" s="17" t="str">
        <x:v>MIT</x:v>
      </x:c>
      <x:c r="N18" s="17" t="str">
        <x:v>GitHub 固定提交版本</x:v>
      </x:c>
      <x:c r="O18" s="17" t="str">
        <x:v>aipoch</x:v>
      </x:c>
      <x:c r="P18" s="17" t="str">
        <x:v>aipoch/medical-research-skills</x:v>
      </x:c>
      <x:c r="Q18" s="19" t="str">
        <x:v>f5ef65b9bea79b6dd9553f52f95b0d08f7d64d26</x:v>
      </x:c>
      <x:c r="R18" s="19" t="str">
        <x:v>2026-08-09</x:v>
      </x:c>
      <x:c r="S18" s="17" t="str">
        <x:v>https://github.com/aipoch/medical-research-skills/blob/f5ef65b9bea79b6dd9553f52f95b0d08f7d64d26/scientific-skills/Academic%20Writing/peer-review/SKILL.md</x:v>
      </x:c>
    </x:row>
    <x:row r="19" ht="64" customHeight="1">
      <x:c r="A19" s="18" t="n">
        <x:v>15</x:v>
      </x:c>
      <x:c r="B19" s="18" t="str">
        <x:v>FD-06-0279</x:v>
      </x:c>
      <x:c r="C19" s="17" t="str">
        <x:v>peer-review</x:v>
      </x:c>
      <x:c r="D19" s="17" t="str">
        <x:v>06-12 期刊与会议论文同行评审</x:v>
      </x:c>
      <x:c r="E19" s="17" t="str">
        <x:v>这个技能主要用于期刊与会议论文同行评审。它可以帮助使用者生成具体、可执行的学习反馈、检查课程或教学材料质量、准备同行评审或审稿意见、检查研究方法是否合适和完整。</x:v>
      </x:c>
      <x:c r="F19" s="17" t="str">
        <x:v>期刊审稿人、会议评审人、研究人员、编辑</x:v>
      </x:c>
      <x:c r="G19" s="17" t="str">
        <x:v>需要为获准评阅的期刊或会议稿件准备同行评审草稿，或在投稿前模拟审稿时</x:v>
      </x:c>
      <x:c r="H19" s="17" t="str">
        <x:v>获准使用的去标识稿件、期刊或会议要求、评审表和报告规范</x:v>
      </x:c>
      <x:c r="I19" s="17" t="str">
        <x:v>同行评审草稿、主要问题、次要问题、方法与统计检查、修改优先级和供评审人确认的建议</x:v>
      </x:c>
      <x:c r="J19" s="19" t="str">
        <x:v>需要重新改造</x:v>
      </x:c>
      <x:c r="K19" s="19" t="str">
        <x:v>SB-A</x:v>
      </x:c>
      <x:c r="L19" s="17" t="str">
        <x:v>安全等级 SB-A：原包含需要删减或重写的网络、数据、自动决定或权限步骤；正式库只能收录明确列出改造要求的适配方案。</x:v>
      </x:c>
      <x:c r="M19" s="17" t="str">
        <x:v>MIT</x:v>
      </x:c>
      <x:c r="N19" s="17" t="str">
        <x:v>GitHub 固定提交版本</x:v>
      </x:c>
      <x:c r="O19" s="17" t="str">
        <x:v>richard-kim-79</x:v>
      </x:c>
      <x:c r="P19" s="17" t="str">
        <x:v>richard-kim-79/archora-skills</x:v>
      </x:c>
      <x:c r="Q19" s="19" t="str">
        <x:v>8743cc5f62c7c15cc5b961918b6e67def0f0ce1f</x:v>
      </x:c>
      <x:c r="R19" s="19" t="str">
        <x:v>2026-08-09</x:v>
      </x:c>
      <x:c r="S19" s="17" t="str">
        <x:v>https://github.com/richard-kim-79/archora-skills/blob/8743cc5f62c7c15cc5b961918b6e67def0f0ce1f/skills/peer-review/SKILL.md</x:v>
      </x:c>
    </x:row>
    <x:row r="20" ht="64" customHeight="1">
      <x:c r="A20" s="18" t="n">
        <x:v>16</x:v>
      </x:c>
      <x:c r="B20" s="18" t="str">
        <x:v>FD-06-0280</x:v>
      </x:c>
      <x:c r="C20" s="17" t="str">
        <x:v>peer-review-assistant</x:v>
      </x:c>
      <x:c r="D20" s="17" t="str">
        <x:v>06-12 期刊与会议论文同行评审</x:v>
      </x:c>
      <x:c r="E20" s="17" t="str">
        <x:v>这个技能主要用于期刊与会议论文同行评审。它可以帮助使用者发现内容覆盖不足和重复、检查课程或教学材料质量、支持教学反思和改进记录、检查格式、引文和参考文献。</x:v>
      </x:c>
      <x:c r="F20" s="17" t="str">
        <x:v>期刊审稿人、会议评审人、研究人员、编辑</x:v>
      </x:c>
      <x:c r="G20" s="17" t="str">
        <x:v>需要为获准评阅的期刊或会议稿件准备同行评审草稿，或在投稿前模拟审稿时</x:v>
      </x:c>
      <x:c r="H20" s="17" t="str">
        <x:v>获准使用的去标识稿件、期刊或会议要求、评审表和报告规范</x:v>
      </x:c>
      <x:c r="I20" s="17" t="str">
        <x:v>同行评审草稿、主要问题、次要问题、方法与统计检查、修改优先级和供评审人确认的建议</x:v>
      </x:c>
      <x:c r="J20" s="19" t="str">
        <x:v>需要重新改造</x:v>
      </x:c>
      <x:c r="K20" s="19" t="str">
        <x:v>SB-A</x:v>
      </x:c>
      <x:c r="L20" s="17" t="str">
        <x:v>安全等级 SB-A：原包含需要删减或重写的网络、数据、自动决定或权限步骤；正式库只能收录明确列出改造要求的适配方案。</x:v>
      </x:c>
      <x:c r="M20" s="17" t="str">
        <x:v>MIT</x:v>
      </x:c>
      <x:c r="N20" s="17" t="str">
        <x:v>GitHub 固定提交版本</x:v>
      </x:c>
      <x:c r="O20" s="17" t="str">
        <x:v>stephenturner</x:v>
      </x:c>
      <x:c r="P20" s="17" t="str">
        <x:v>stephenturner/skill-peer-review-assistant</x:v>
      </x:c>
      <x:c r="Q20" s="19" t="str">
        <x:v>ef30b0f9790eb419bbfe25906472b727dbd69de3</x:v>
      </x:c>
      <x:c r="R20" s="19" t="str">
        <x:v>2026-08-09</x:v>
      </x:c>
      <x:c r="S20" s="17" t="str">
        <x:v>https://github.com/stephenturner/skill-peer-review-assistant/blob/ef30b0f9790eb419bbfe25906472b727dbd69de3/SKILL.md</x:v>
      </x:c>
    </x:row>
    <x:row r="21" ht="64" customHeight="1">
      <x:c r="A21" s="18" t="n">
        <x:v>17</x:v>
      </x:c>
      <x:c r="B21" s="18" t="str">
        <x:v>FD-06-0281</x:v>
      </x:c>
      <x:c r="C21" s="17" t="str">
        <x:v>peer-review-engine</x:v>
      </x:c>
      <x:c r="D21" s="17" t="str">
        <x:v>06-12 期刊与会议论文同行评审</x:v>
      </x:c>
      <x:c r="E21" s="17" t="str">
        <x:v>这个技能主要用于期刊与会议论文同行评审。它可以帮助使用者生成具体、可执行的学习反馈、检查格式、引文和参考文献、准备同行评审或审稿意见、检查研究问题、方法和证据。</x:v>
      </x:c>
      <x:c r="F21" s="17" t="str">
        <x:v>期刊审稿人、会议评审人、研究人员、编辑</x:v>
      </x:c>
      <x:c r="G21" s="17" t="str">
        <x:v>需要为获准评阅的期刊或会议稿件准备同行评审草稿，或在投稿前模拟审稿时</x:v>
      </x:c>
      <x:c r="H21" s="17" t="str">
        <x:v>获准使用的去标识稿件、期刊或会议要求、评审表和报告规范</x:v>
      </x:c>
      <x:c r="I21" s="17" t="str">
        <x:v>同行评审草稿、主要问题、次要问题、方法与统计检查、修改优先级和供评审人确认的建议</x:v>
      </x:c>
      <x:c r="J21" s="19" t="str">
        <x:v>需要重新改造</x:v>
      </x:c>
      <x:c r="K21" s="19" t="str">
        <x:v>SB-A</x:v>
      </x:c>
      <x:c r="L21" s="17" t="str">
        <x:v>安全等级 SB-A：原包含需要删减或重写的网络、数据、自动决定或权限步骤；正式库只能收录明确列出改造要求的适配方案。</x:v>
      </x:c>
      <x:c r="M21" s="17" t="str">
        <x:v>MIT</x:v>
      </x:c>
      <x:c r="N21" s="17" t="str">
        <x:v>GitHub 固定提交版本</x:v>
      </x:c>
      <x:c r="O21" s="17" t="str">
        <x:v>TobiasBlask</x:v>
      </x:c>
      <x:c r="P21" s="17" t="str">
        <x:v>TobiasBlask/open-paper-machine</x:v>
      </x:c>
      <x:c r="Q21" s="19" t="str">
        <x:v>160df4d13d266411f0850c4de7ecdbd93e8b40be</x:v>
      </x:c>
      <x:c r="R21" s="19" t="str">
        <x:v>2026-08-09</x:v>
      </x:c>
      <x:c r="S21" s="17" t="str">
        <x:v>https://github.com/TobiasBlask/open-paper-machine/blob/160df4d13d266411f0850c4de7ecdbd93e8b40be/skills/peer-review-engine/SKILL.md</x:v>
      </x:c>
    </x:row>
    <x:row r="22" ht="64" customHeight="1">
      <x:c r="A22" s="18" t="n">
        <x:v>18</x:v>
      </x:c>
      <x:c r="B22" s="18" t="str">
        <x:v>FD-06-0282</x:v>
      </x:c>
      <x:c r="C22" s="17" t="str">
        <x:v>peer-review-response-drafter</x:v>
      </x:c>
      <x:c r="D22" s="17" t="str">
        <x:v>06-12 期刊与会议论文同行评审</x:v>
      </x:c>
      <x:c r="E22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2" s="17" t="str">
        <x:v>期刊审稿人、会议评审人、研究人员、编辑</x:v>
      </x:c>
      <x:c r="G22" s="17" t="str">
        <x:v>需要为获准评阅的期刊或会议稿件准备同行评审草稿，或在投稿前模拟审稿时</x:v>
      </x:c>
      <x:c r="H22" s="17" t="str">
        <x:v>获准使用的去标识稿件、期刊或会议要求、评审表和报告规范</x:v>
      </x:c>
      <x:c r="I22" s="17" t="str">
        <x:v>同行评审草稿、主要问题、次要问题、方法与统计检查、修改优先级和供评审人确认的建议</x:v>
      </x:c>
      <x:c r="J22" s="19" t="str">
        <x:v>需要重新改造</x:v>
      </x:c>
      <x:c r="K22" s="19" t="str">
        <x:v>SB-A</x:v>
      </x:c>
      <x:c r="L22" s="17" t="str">
        <x:v>安全等级 SB-A：原包含需要删减或重写的网络、数据、自动决定或权限步骤；正式库只能收录明确列出改造要求的适配方案。</x:v>
      </x:c>
      <x:c r="M22" s="17" t="str">
        <x:v>MIT</x:v>
      </x:c>
      <x:c r="N22" s="17" t="str">
        <x:v>GitHub 固定提交版本</x:v>
      </x:c>
      <x:c r="O22" s="17" t="str">
        <x:v>aipoch</x:v>
      </x:c>
      <x:c r="P22" s="17" t="str">
        <x:v>aipoch/medical-research-skills</x:v>
      </x:c>
      <x:c r="Q22" s="19" t="str">
        <x:v>f5ef65b9bea79b6dd9553f52f95b0d08f7d64d26</x:v>
      </x:c>
      <x:c r="R22" s="19" t="str">
        <x:v>2026-08-09</x:v>
      </x:c>
      <x:c r="S22" s="17" t="str">
        <x:v>https://github.com/aipoch/medical-research-skills/blob/f5ef65b9bea79b6dd9553f52f95b0d08f7d64d26/scientific-skills/Academic%20Writing/peer-review-response-drafter/SKILL.md</x:v>
      </x:c>
    </x:row>
    <x:row r="23" ht="64" customHeight="1">
      <x:c r="A23" s="18" t="n">
        <x:v>19</x:v>
      </x:c>
      <x:c r="B23" s="18" t="str">
        <x:v>FD-06-0283</x:v>
      </x:c>
      <x:c r="C23" s="17" t="str">
        <x:v>peer-reviewer</x:v>
      </x:c>
      <x:c r="D23" s="17" t="str">
        <x:v>06-12 期刊与会议论文同行评审</x:v>
      </x:c>
      <x:c r="E23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3" s="17" t="str">
        <x:v>期刊审稿人、会议评审人、研究人员、编辑</x:v>
      </x:c>
      <x:c r="G23" s="17" t="str">
        <x:v>需要为获准评阅的期刊或会议稿件准备同行评审草稿，或在投稿前模拟审稿时</x:v>
      </x:c>
      <x:c r="H23" s="17" t="str">
        <x:v>获准使用的去标识稿件、期刊或会议要求、评审表和报告规范</x:v>
      </x:c>
      <x:c r="I23" s="17" t="str">
        <x:v>同行评审草稿、主要问题、次要问题、方法与统计检查、修改优先级和供评审人确认的建议</x:v>
      </x:c>
      <x:c r="J23" s="19" t="str">
        <x:v>需要重新改造</x:v>
      </x:c>
      <x:c r="K23" s="19" t="str">
        <x:v>SB-A</x:v>
      </x:c>
      <x:c r="L23" s="17" t="str">
        <x:v>安全等级 SB-A：原包含需要删减或重写的网络、数据、自动决定或权限步骤；正式库只能收录明确列出改造要求的适配方案。</x:v>
      </x:c>
      <x:c r="M23" s="17" t="str">
        <x:v>MIT</x:v>
      </x:c>
      <x:c r="N23" s="17" t="str">
        <x:v>GitHub 固定提交版本</x:v>
      </x:c>
      <x:c r="O23" s="17" t="str">
        <x:v>flonat</x:v>
      </x:c>
      <x:c r="P23" s="17" t="str">
        <x:v>flonat/flonat-research</x:v>
      </x:c>
      <x:c r="Q23" s="19" t="str">
        <x:v>e5561f7d6c867526043f0d676cd749cf6c51cefb</x:v>
      </x:c>
      <x:c r="R23" s="19" t="str">
        <x:v>2026-08-09</x:v>
      </x:c>
      <x:c r="S23" s="17" t="str">
        <x:v>https://github.com/flonat/flonat-research/blob/e5561f7d6c867526043f0d676cd749cf6c51cefb/agents/peer-reviewer.md</x:v>
      </x:c>
    </x:row>
    <x:row r="24" ht="64" customHeight="1">
      <x:c r="A24" s="18" t="n">
        <x:v>20</x:v>
      </x:c>
      <x:c r="B24" s="18" t="str">
        <x:v>FD-06-0284</x:v>
      </x:c>
      <x:c r="C24" s="17" t="str">
        <x:v>polisci-review</x:v>
      </x:c>
      <x:c r="D24" s="17" t="str">
        <x:v>06-12 期刊与会议论文同行评审</x:v>
      </x:c>
      <x:c r="E24" s="17" t="str">
        <x:v>这个技能主要用于期刊与会议论文同行评审。它可以帮助使用者检查课程或教学材料质量、检查研究问题、方法和证据、提出具体、可执行的修改意见、形成结构化同行评审草稿。</x:v>
      </x:c>
      <x:c r="F24" s="17" t="str">
        <x:v>期刊审稿人、会议评审人、研究人员、编辑</x:v>
      </x:c>
      <x:c r="G24" s="17" t="str">
        <x:v>需要为获准评阅的期刊或会议稿件准备同行评审草稿，或在投稿前模拟审稿时</x:v>
      </x:c>
      <x:c r="H24" s="17" t="str">
        <x:v>获准使用的去标识稿件、期刊或会议要求、评审表和报告规范</x:v>
      </x:c>
      <x:c r="I24" s="17" t="str">
        <x:v>同行评审草稿、主要问题、次要问题、方法与统计检查、修改优先级和供评审人确认的建议</x:v>
      </x:c>
      <x:c r="J24" s="19" t="str">
        <x:v>需要重新改造</x:v>
      </x:c>
      <x:c r="K24" s="19" t="str">
        <x:v>SB-A</x:v>
      </x:c>
      <x:c r="L24" s="17" t="str">
        <x:v>安全等级 SB-A：原包含需要删减或重写的网络、数据、自动决定或权限步骤；正式库只能收录明确列出改造要求的适配方案。</x:v>
      </x:c>
      <x:c r="M24" s="17" t="str">
        <x:v>MIT</x:v>
      </x:c>
      <x:c r="N24" s="17" t="str">
        <x:v>GitHub 固定提交版本</x:v>
      </x:c>
      <x:c r="O24" s="17" t="str">
        <x:v>cmertdalli</x:v>
      </x:c>
      <x:c r="P24" s="17" t="str">
        <x:v>cmertdalli/polisci-review</x:v>
      </x:c>
      <x:c r="Q24" s="19" t="str">
        <x:v>df5e14f35aeebea4d222171604999730aa3eca25</x:v>
      </x:c>
      <x:c r="R24" s="19" t="str">
        <x:v>2026-08-09</x:v>
      </x:c>
      <x:c r="S24" s="17" t="str">
        <x:v>https://github.com/cmertdalli/polisci-review/blob/df5e14f35aeebea4d222171604999730aa3eca25/adapters/codex-skill/polisci-review/SKILL.md</x:v>
      </x:c>
    </x:row>
    <x:row r="25" ht="64" customHeight="1">
      <x:c r="A25" s="18" t="n">
        <x:v>21</x:v>
      </x:c>
      <x:c r="B25" s="18" t="str">
        <x:v>FD-06-0285</x:v>
      </x:c>
      <x:c r="C25" s="17" t="str">
        <x:v>pre-submission-report</x:v>
      </x:c>
      <x:c r="D25" s="17" t="str">
        <x:v>06-12 期刊与会议论文同行评审</x:v>
      </x:c>
      <x:c r="E25" s="17" t="str">
        <x:v>这个技能主要用于期刊与会议论文同行评审。它可以帮助使用者检查评价标准的清楚程度和一致性、检查课程或教学材料质量、检查格式、引文和参考文献、提示伦理、引用和学术诚信风险。</x:v>
      </x:c>
      <x:c r="F25" s="17" t="str">
        <x:v>期刊审稿人、会议评审人、研究人员、编辑</x:v>
      </x:c>
      <x:c r="G25" s="17" t="str">
        <x:v>需要为获准评阅的期刊或会议稿件准备同行评审草稿，或在投稿前模拟审稿时</x:v>
      </x:c>
      <x:c r="H25" s="17" t="str">
        <x:v>获准使用的去标识稿件、期刊或会议要求、评审表和报告规范</x:v>
      </x:c>
      <x:c r="I25" s="17" t="str">
        <x:v>同行评审草稿、主要问题、次要问题、方法与统计检查、修改优先级和供评审人确认的建议</x:v>
      </x:c>
      <x:c r="J25" s="19" t="str">
        <x:v>需要重新改造</x:v>
      </x:c>
      <x:c r="K25" s="19" t="str">
        <x:v>SB-A</x:v>
      </x:c>
      <x:c r="L25" s="17" t="str">
        <x:v>安全等级 SB-A：原包含需要删减或重写的网络、数据、自动决定或权限步骤；正式库只能收录明确列出改造要求的适配方案。</x:v>
      </x:c>
      <x:c r="M25" s="17" t="str">
        <x:v>MIT</x:v>
      </x:c>
      <x:c r="N25" s="17" t="str">
        <x:v>GitHub 固定提交版本</x:v>
      </x:c>
      <x:c r="O25" s="17" t="str">
        <x:v>flonat</x:v>
      </x:c>
      <x:c r="P25" s="17" t="str">
        <x:v>flonat/flonat-research</x:v>
      </x:c>
      <x:c r="Q25" s="19" t="str">
        <x:v>e5561f7d6c867526043f0d676cd749cf6c51cefb</x:v>
      </x:c>
      <x:c r="R25" s="19" t="str">
        <x:v>2026-08-09</x:v>
      </x:c>
      <x:c r="S25" s="17" t="str">
        <x:v>https://github.com/flonat/flonat-research/blob/e5561f7d6c867526043f0d676cd749cf6c51cefb/skills/pre-submission-report/SKILL.md</x:v>
      </x:c>
    </x:row>
    <x:row r="26" ht="64" customHeight="1">
      <x:c r="A26" s="18" t="n">
        <x:v>22</x:v>
      </x:c>
      <x:c r="B26" s="18" t="str">
        <x:v>FD-06-0286</x:v>
      </x:c>
      <x:c r="C26" s="17" t="str">
        <x:v>referee2-reviewer</x:v>
      </x:c>
      <x:c r="D26" s="17" t="str">
        <x:v>06-12 期刊与会议论文同行评审</x:v>
      </x:c>
      <x:c r="E26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6" s="17" t="str">
        <x:v>期刊审稿人、会议评审人、研究人员、编辑</x:v>
      </x:c>
      <x:c r="G26" s="17" t="str">
        <x:v>需要为获准评阅的期刊或会议稿件准备同行评审草稿，或在投稿前模拟审稿时</x:v>
      </x:c>
      <x:c r="H26" s="17" t="str">
        <x:v>获准使用的去标识稿件、期刊或会议要求、评审表和报告规范</x:v>
      </x:c>
      <x:c r="I26" s="17" t="str">
        <x:v>同行评审草稿、主要问题、次要问题、方法与统计检查、修改优先级和供评审人确认的建议</x:v>
      </x:c>
      <x:c r="J26" s="19" t="str">
        <x:v>需要重新改造</x:v>
      </x:c>
      <x:c r="K26" s="19" t="str">
        <x:v>SB-A</x:v>
      </x:c>
      <x:c r="L26" s="17" t="str">
        <x:v>安全等级 SB-A：原包含需要删减或重写的网络、数据、自动决定或权限步骤；正式库只能收录明确列出改造要求的适配方案。</x:v>
      </x:c>
      <x:c r="M26" s="17" t="str">
        <x:v>MIT</x:v>
      </x:c>
      <x:c r="N26" s="17" t="str">
        <x:v>GitHub 固定提交版本</x:v>
      </x:c>
      <x:c r="O26" s="17" t="str">
        <x:v>flonat</x:v>
      </x:c>
      <x:c r="P26" s="17" t="str">
        <x:v>flonat/flonat-research</x:v>
      </x:c>
      <x:c r="Q26" s="19" t="str">
        <x:v>e5561f7d6c867526043f0d676cd749cf6c51cefb</x:v>
      </x:c>
      <x:c r="R26" s="19" t="str">
        <x:v>2026-08-09</x:v>
      </x:c>
      <x:c r="S26" s="17" t="str">
        <x:v>https://github.com/flonat/flonat-research/blob/e5561f7d6c867526043f0d676cd749cf6c51cefb/agents/referee2-reviewer.md</x:v>
      </x:c>
    </x:row>
    <x:row r="27" ht="64" customHeight="1">
      <x:c r="A27" s="18" t="n">
        <x:v>23</x:v>
      </x:c>
      <x:c r="B27" s="18" t="str">
        <x:v>FD-06-0287</x:v>
      </x:c>
      <x:c r="C27" s="17" t="str">
        <x:v>research-paper-review</x:v>
      </x:c>
      <x:c r="D27" s="17" t="str">
        <x:v>06-12 期刊与会议论文同行评审</x:v>
      </x:c>
      <x:c r="E27" s="17" t="str">
        <x:v>这个技能主要用于期刊与会议论文同行评审。它可以帮助使用者准备阅读清单和阅读提示、检查研究方法是否合适和完整、检查研究问题、方法和证据、提出具体、可执行的修改意见。</x:v>
      </x:c>
      <x:c r="F27" s="17" t="str">
        <x:v>期刊审稿人、会议评审人、研究人员、编辑</x:v>
      </x:c>
      <x:c r="G27" s="17" t="str">
        <x:v>需要为获准评阅的期刊或会议稿件准备同行评审草稿，或在投稿前模拟审稿时</x:v>
      </x:c>
      <x:c r="H27" s="17" t="str">
        <x:v>获准使用的去标识稿件、期刊或会议要求、评审表和报告规范</x:v>
      </x:c>
      <x:c r="I27" s="17" t="str">
        <x:v>同行评审草稿、主要问题、次要问题、方法与统计检查、修改优先级和供评审人确认的建议</x:v>
      </x:c>
      <x:c r="J27" s="19" t="str">
        <x:v>需要重新改造</x:v>
      </x:c>
      <x:c r="K27" s="19" t="str">
        <x:v>SB-A</x:v>
      </x:c>
      <x:c r="L27" s="17" t="str">
        <x:v>安全等级 SB-A：原包含需要删减或重写的网络、数据、自动决定或权限步骤；正式库只能收录明确列出改造要求的适配方案。</x:v>
      </x:c>
      <x:c r="M27" s="17" t="str">
        <x:v>MIT</x:v>
      </x:c>
      <x:c r="N27" s="17" t="str">
        <x:v>GitHub 固定提交版本</x:v>
      </x:c>
      <x:c r="O27" s="17" t="str">
        <x:v>BESSER-PEARL</x:v>
      </x:c>
      <x:c r="P27" s="17" t="str">
        <x:v>BESSER-PEARL/research-agent-skills</x:v>
      </x:c>
      <x:c r="Q27" s="19" t="str">
        <x:v>03d3c49ac1698c9d29cc4c0f5e8eeca17210bd51</x:v>
      </x:c>
      <x:c r="R27" s="19" t="str">
        <x:v>2026-08-09</x:v>
      </x:c>
      <x:c r="S27" s="17" t="str">
        <x:v>https://github.com/BESSER-PEARL/research-agent-skills/blob/03d3c49ac1698c9d29cc4c0f5e8eeca17210bd51/research-paper-review/SKILL.md</x:v>
      </x:c>
    </x:row>
    <x:row r="28" ht="64" customHeight="1">
      <x:c r="A28" s="18" t="n">
        <x:v>24</x:v>
      </x:c>
      <x:c r="B28" s="18" t="str">
        <x:v>FD-06-0288</x:v>
      </x:c>
      <x:c r="C28" s="17" t="str">
        <x:v>review-pap</x:v>
      </x:c>
      <x:c r="D28" s="17" t="str">
        <x:v>06-12 期刊与会议论文同行评审</x:v>
      </x:c>
      <x:c r="E28" s="17" t="str">
        <x:v>这个技能主要用于期刊与会议论文同行评审。它可以帮助使用者检查研究问题、方法和证据、提出具体、可执行的修改意见、形成结构化同行评审草稿。</x:v>
      </x:c>
      <x:c r="F28" s="17" t="str">
        <x:v>期刊审稿人、会议评审人、研究人员、编辑</x:v>
      </x:c>
      <x:c r="G28" s="17" t="str">
        <x:v>需要为获准评阅的期刊或会议稿件准备同行评审草稿，或在投稿前模拟审稿时</x:v>
      </x:c>
      <x:c r="H28" s="17" t="str">
        <x:v>获准使用的去标识稿件、期刊或会议要求、评审表和报告规范</x:v>
      </x:c>
      <x:c r="I28" s="17" t="str">
        <x:v>同行评审草稿、主要问题、次要问题、方法与统计检查、修改优先级和供评审人确认的建议</x:v>
      </x:c>
      <x:c r="J28" s="19" t="str">
        <x:v>需要重新改造</x:v>
      </x:c>
      <x:c r="K28" s="19" t="str">
        <x:v>SB-A</x:v>
      </x:c>
      <x:c r="L28" s="17" t="str">
        <x:v>安全等级 SB-A：原包含需要删减或重写的网络、数据、自动决定或权限步骤；正式库只能收录明确列出改造要求的适配方案。</x:v>
      </x:c>
      <x:c r="M28" s="17" t="str">
        <x:v>MIT</x:v>
      </x:c>
      <x:c r="N28" s="17" t="str">
        <x:v>GitHub 固定提交版本</x:v>
      </x:c>
      <x:c r="O28" s="17" t="str">
        <x:v>claesbackman</x:v>
      </x:c>
      <x:c r="P28" s="17" t="str">
        <x:v>claesbackman/AI-research-feedback</x:v>
      </x:c>
      <x:c r="Q28" s="19" t="str">
        <x:v>d39b192304121836cd2587a625fa7b7c0ed11963</x:v>
      </x:c>
      <x:c r="R28" s="19" t="str">
        <x:v>2026-08-09</x:v>
      </x:c>
      <x:c r="S28" s="17" t="str">
        <x:v>https://github.com/claesbackman/AI-research-feedback/blob/d39b192304121836cd2587a625fa7b7c0ed11963/Skills/review-pap/SKILL.md</x:v>
      </x:c>
    </x:row>
    <x:row r="29" ht="64" customHeight="1">
      <x:c r="A29" s="18" t="n">
        <x:v>25</x:v>
      </x:c>
      <x:c r="B29" s="18" t="str">
        <x:v>FD-06-0289</x:v>
      </x:c>
      <x:c r="C29" s="17" t="str">
        <x:v>review-paper</x:v>
      </x:c>
      <x:c r="D29" s="17" t="str">
        <x:v>06-12 期刊与会议论文同行评审</x:v>
      </x:c>
      <x:c r="E29" s="17" t="str">
        <x:v>这个技能主要用于期刊与会议论文同行评审。它可以帮助使用者准备同行评审或审稿意见、检查研究问题、方法和证据、提出具体、可执行的修改意见、形成结构化同行评审草稿。</x:v>
      </x:c>
      <x:c r="F29" s="17" t="str">
        <x:v>期刊审稿人、会议评审人、研究人员、编辑</x:v>
      </x:c>
      <x:c r="G29" s="17" t="str">
        <x:v>需要为获准评阅的期刊或会议稿件准备同行评审草稿，或在投稿前模拟审稿时</x:v>
      </x:c>
      <x:c r="H29" s="17" t="str">
        <x:v>获准使用的去标识稿件、期刊或会议要求、评审表和报告规范</x:v>
      </x:c>
      <x:c r="I29" s="17" t="str">
        <x:v>同行评审草稿、主要问题、次要问题、方法与统计检查、修改优先级和供评审人确认的建议</x:v>
      </x:c>
      <x:c r="J29" s="19" t="str">
        <x:v>需要重新改造</x:v>
      </x:c>
      <x:c r="K29" s="19" t="str">
        <x:v>SB-A</x:v>
      </x:c>
      <x:c r="L29" s="17" t="str">
        <x:v>安全等级 SB-A：原包含需要删减或重写的网络、数据、自动决定或权限步骤；正式库只能收录明确列出改造要求的适配方案。</x:v>
      </x:c>
      <x:c r="M29" s="17" t="str">
        <x:v>MIT</x:v>
      </x:c>
      <x:c r="N29" s="17" t="str">
        <x:v>GitHub 固定提交版本</x:v>
      </x:c>
      <x:c r="O29" s="17" t="str">
        <x:v>claesbackman</x:v>
      </x:c>
      <x:c r="P29" s="17" t="str">
        <x:v>claesbackman/AI-research-feedback</x:v>
      </x:c>
      <x:c r="Q29" s="19" t="str">
        <x:v>d39b192304121836cd2587a625fa7b7c0ed11963</x:v>
      </x:c>
      <x:c r="R29" s="19" t="str">
        <x:v>2026-08-09</x:v>
      </x:c>
      <x:c r="S29" s="17" t="str">
        <x:v>https://github.com/claesbackman/AI-research-feedback/blob/d39b192304121836cd2587a625fa7b7c0ed11963/Skills/review-paper/SKILL.md</x:v>
      </x:c>
    </x:row>
    <x:row r="30" ht="64" customHeight="1">
      <x:c r="A30" s="18" t="n">
        <x:v>26</x:v>
      </x:c>
      <x:c r="B30" s="18" t="str">
        <x:v>FD-06-0290</x:v>
      </x:c>
      <x:c r="C30" s="17" t="str">
        <x:v>review-paper-code</x:v>
      </x:c>
      <x:c r="D30" s="17" t="str">
        <x:v>06-12 期刊与会议论文同行评审</x:v>
      </x:c>
      <x:c r="E30" s="17" t="str">
        <x:v>这个技能主要用于期刊与会议论文同行评审。它可以帮助使用者设计项目、工作坊或课堂活动、按标准检查作业并提出分数建议、检查课程或教学材料质量、检查可复现性和论文与代码的一致性。</x:v>
      </x:c>
      <x:c r="F30" s="17" t="str">
        <x:v>期刊审稿人、会议评审人、研究人员、编辑</x:v>
      </x:c>
      <x:c r="G30" s="17" t="str">
        <x:v>需要为获准评阅的期刊或会议稿件准备同行评审草稿，或在投稿前模拟审稿时</x:v>
      </x:c>
      <x:c r="H30" s="17" t="str">
        <x:v>获准使用的去标识稿件、期刊或会议要求、评审表和报告规范</x:v>
      </x:c>
      <x:c r="I30" s="17" t="str">
        <x:v>同行评审草稿、主要问题、次要问题、方法与统计检查、修改优先级和供评审人确认的建议</x:v>
      </x:c>
      <x:c r="J30" s="19" t="str">
        <x:v>需要重新改造</x:v>
      </x:c>
      <x:c r="K30" s="19" t="str">
        <x:v>SB-A</x:v>
      </x:c>
      <x:c r="L30" s="17" t="str">
        <x:v>安全等级 SB-A：原包含需要删减或重写的网络、数据、自动决定或权限步骤；正式库只能收录明确列出改造要求的适配方案。</x:v>
      </x:c>
      <x:c r="M30" s="17" t="str">
        <x:v>MIT</x:v>
      </x:c>
      <x:c r="N30" s="17" t="str">
        <x:v>GitHub 固定提交版本</x:v>
      </x:c>
      <x:c r="O30" s="17" t="str">
        <x:v>claesbackman</x:v>
      </x:c>
      <x:c r="P30" s="17" t="str">
        <x:v>claesbackman/AI-research-feedback</x:v>
      </x:c>
      <x:c r="Q30" s="19" t="str">
        <x:v>d39b192304121836cd2587a625fa7b7c0ed11963</x:v>
      </x:c>
      <x:c r="R30" s="19" t="str">
        <x:v>2026-08-09</x:v>
      </x:c>
      <x:c r="S30" s="17" t="str">
        <x:v>https://github.com/claesbackman/AI-research-feedback/blob/d39b192304121836cd2587a625fa7b7c0ed11963/Skills/review-paper-code/SKILL.md</x:v>
      </x:c>
    </x:row>
    <x:row r="31" ht="64" customHeight="1">
      <x:c r="A31" s="18" t="n">
        <x:v>27</x:v>
      </x:c>
      <x:c r="B31" s="18" t="str">
        <x:v>FD-06-0291</x:v>
      </x:c>
      <x:c r="C31" s="17" t="str">
        <x:v>review-paper-light</x:v>
      </x:c>
      <x:c r="D31" s="17" t="str">
        <x:v>06-12 期刊与会议论文同行评审</x:v>
      </x:c>
      <x:c r="E31" s="17" t="str">
        <x:v>这个技能主要用于期刊与会议论文同行评审。它可以帮助使用者检查研究问题、方法和证据、提出具体、可执行的修改意见、形成结构化同行评审草稿。</x:v>
      </x:c>
      <x:c r="F31" s="17" t="str">
        <x:v>期刊审稿人、会议评审人、研究人员、编辑</x:v>
      </x:c>
      <x:c r="G31" s="17" t="str">
        <x:v>需要为获准评阅的期刊或会议稿件准备同行评审草稿，或在投稿前模拟审稿时</x:v>
      </x:c>
      <x:c r="H31" s="17" t="str">
        <x:v>获准使用的去标识稿件、期刊或会议要求、评审表和报告规范</x:v>
      </x:c>
      <x:c r="I31" s="17" t="str">
        <x:v>同行评审草稿、主要问题、次要问题、方法与统计检查、修改优先级和供评审人确认的建议</x:v>
      </x:c>
      <x:c r="J31" s="19" t="str">
        <x:v>需要重新改造</x:v>
      </x:c>
      <x:c r="K31" s="19" t="str">
        <x:v>SB-A</x:v>
      </x:c>
      <x:c r="L31" s="17" t="str">
        <x:v>安全等级 SB-A：原包含需要删减或重写的网络、数据、自动决定或权限步骤；正式库只能收录明确列出改造要求的适配方案。</x:v>
      </x:c>
      <x:c r="M31" s="17" t="str">
        <x:v>MIT</x:v>
      </x:c>
      <x:c r="N31" s="17" t="str">
        <x:v>GitHub 固定提交版本</x:v>
      </x:c>
      <x:c r="O31" s="17" t="str">
        <x:v>claesbackman</x:v>
      </x:c>
      <x:c r="P31" s="17" t="str">
        <x:v>claesbackman/AI-research-feedback</x:v>
      </x:c>
      <x:c r="Q31" s="19" t="str">
        <x:v>d39b192304121836cd2587a625fa7b7c0ed11963</x:v>
      </x:c>
      <x:c r="R31" s="19" t="str">
        <x:v>2026-08-09</x:v>
      </x:c>
      <x:c r="S31" s="17" t="str">
        <x:v>https://github.com/claesbackman/AI-research-feedback/blob/d39b192304121836cd2587a625fa7b7c0ed11963/Skills/review-paper-light/SKILL.md</x:v>
      </x:c>
    </x:row>
    <x:row r="32" ht="64" customHeight="1">
      <x:c r="A32" s="18" t="n">
        <x:v>28</x:v>
      </x:c>
      <x:c r="B32" s="18" t="str">
        <x:v>FD-06-0292</x:v>
      </x:c>
      <x:c r="C32" s="17" t="str">
        <x:v>reviewer-2-simulator</x:v>
      </x:c>
      <x:c r="D32" s="17" t="str">
        <x:v>06-12 期刊与会议论文同行评审</x:v>
      </x:c>
      <x:c r="E32" s="17" t="str">
        <x:v>这个技能主要用于期刊与会议论文同行评审。它可以帮助使用者诊断知识薄弱点和教学问题、准备同行评审或审稿意见、检查研究问题、方法和证据、提出具体、可执行的修改意见。</x:v>
      </x:c>
      <x:c r="F32" s="17" t="str">
        <x:v>期刊审稿人、会议评审人、研究人员、编辑</x:v>
      </x:c>
      <x:c r="G32" s="17" t="str">
        <x:v>需要为获准评阅的期刊或会议稿件准备同行评审草稿，或在投稿前模拟审稿时</x:v>
      </x:c>
      <x:c r="H32" s="17" t="str">
        <x:v>获准使用的去标识稿件、期刊或会议要求、评审表和报告规范</x:v>
      </x:c>
      <x:c r="I32" s="17" t="str">
        <x:v>同行评审草稿、主要问题、次要问题、方法与统计检查、修改优先级和供评审人确认的建议</x:v>
      </x:c>
      <x:c r="J32" s="19" t="str">
        <x:v>需要重新改造</x:v>
      </x:c>
      <x:c r="K32" s="19" t="str">
        <x:v>SB-A</x:v>
      </x:c>
      <x:c r="L32" s="17" t="str">
        <x:v>安全等级 SB-A：原包含需要删减或重写的网络、数据、自动决定或权限步骤；正式库只能收录明确列出改造要求的适配方案。</x:v>
      </x:c>
      <x:c r="M32" s="17" t="str">
        <x:v>Apache-2.0</x:v>
      </x:c>
      <x:c r="N32" s="17" t="str">
        <x:v>GitHub 固定提交版本</x:v>
      </x:c>
      <x:c r="O32" s="17" t="str">
        <x:v>GhostScientist</x:v>
      </x:c>
      <x:c r="P32" s="17" t="str">
        <x:v>GhostScientist/skills</x:v>
      </x:c>
      <x:c r="Q32" s="19" t="str">
        <x:v>a7b17c914b2d876553b1ad0595850a679bf4b9e9</x:v>
      </x:c>
      <x:c r="R32" s="19" t="str">
        <x:v>2026-08-09</x:v>
      </x:c>
      <x:c r="S32" s="17" t="str">
        <x:v>https://github.com/GhostScientist/skills/blob/a7b17c914b2d876553b1ad0595850a679bf4b9e9/skills/reviewer-2-simulator/SKILL.md</x:v>
      </x:c>
    </x:row>
    <x:row r="33" ht="64" customHeight="1">
      <x:c r="A33" s="18" t="n">
        <x:v>29</x:v>
      </x:c>
      <x:c r="B33" s="18" t="str">
        <x:v>FD-06-0293</x:v>
      </x:c>
      <x:c r="C33" s="17" t="str">
        <x:v>scholar-evaluation</x:v>
      </x:c>
      <x:c r="D33" s="17" t="str">
        <x:v>06-12 期刊与会议论文同行评审</x:v>
      </x:c>
      <x:c r="E33" s="17" t="str">
        <x:v>这个技能主要用于期刊与会议论文同行评审。它可以帮助使用者设计或使用评分量规、检查课程或教学材料质量、检查研究问题、方法和证据、提出具体、可执行的修改意见。</x:v>
      </x:c>
      <x:c r="F33" s="17" t="str">
        <x:v>期刊审稿人、会议评审人、研究人员、编辑</x:v>
      </x:c>
      <x:c r="G33" s="17" t="str">
        <x:v>需要为获准评阅的期刊或会议稿件准备同行评审草稿，或在投稿前模拟审稿时</x:v>
      </x:c>
      <x:c r="H33" s="17" t="str">
        <x:v>获准使用的去标识稿件、期刊或会议要求、评审表和报告规范</x:v>
      </x:c>
      <x:c r="I33" s="17" t="str">
        <x:v>同行评审草稿、主要问题、次要问题、方法与统计检查、修改优先级和供评审人确认的建议</x:v>
      </x:c>
      <x:c r="J33" s="19" t="str">
        <x:v>需要重新改造</x:v>
      </x:c>
      <x:c r="K33" s="19" t="str">
        <x:v>SB-A</x:v>
      </x:c>
      <x:c r="L33" s="17" t="str">
        <x:v>安全等级 SB-A：原包含需要删减或重写的网络、数据、自动决定或权限步骤；正式库只能收录明确列出改造要求的适配方案。</x:v>
      </x:c>
      <x:c r="M33" s="17" t="str">
        <x:v>MIT</x:v>
      </x:c>
      <x:c r="N33" s="17" t="str">
        <x:v>GitHub 固定提交版本</x:v>
      </x:c>
      <x:c r="O33" s="17" t="str">
        <x:v>K-Dense-AI</x:v>
      </x:c>
      <x:c r="P33" s="17" t="str">
        <x:v>K-Dense-AI/scientific-agent-skills</x:v>
      </x:c>
      <x:c r="Q33" s="19" t="str">
        <x:v>991bd993aca4e90891d1f9908ba82ef45d77b6f0</x:v>
      </x:c>
      <x:c r="R33" s="19" t="str">
        <x:v>2026-08-09</x:v>
      </x:c>
      <x:c r="S33" s="17" t="str">
        <x:v>https://github.com/K-Dense-AI/scientific-agent-skills/blob/991bd993aca4e90891d1f9908ba82ef45d77b6f0/skills/scholar-evaluation/SKILL.md</x:v>
      </x:c>
    </x:row>
    <x:row r="34" ht="64" customHeight="1">
      <x:c r="A34" s="18" t="n">
        <x:v>30</x:v>
      </x:c>
      <x:c r="B34" s="18" t="str">
        <x:v>FD-06-0294</x:v>
      </x:c>
      <x:c r="C34" s="17" t="str">
        <x:v>scholar-evaluation</x:v>
      </x:c>
      <x:c r="D34" s="17" t="str">
        <x:v>06-12 期刊与会议论文同行评审</x:v>
      </x:c>
      <x:c r="E34" s="17" t="str">
        <x:v>这个技能主要用于期刊与会议论文同行评审。它可以帮助使用者准备阅读清单和阅读提示、生成具体、可执行的学习反馈、检查课程或教学材料质量、检查格式、引文和参考文献。</x:v>
      </x:c>
      <x:c r="F34" s="17" t="str">
        <x:v>期刊审稿人、会议评审人、研究人员、编辑</x:v>
      </x:c>
      <x:c r="G34" s="17" t="str">
        <x:v>需要为获准评阅的期刊或会议稿件准备同行评审草稿，或在投稿前模拟审稿时</x:v>
      </x:c>
      <x:c r="H34" s="17" t="str">
        <x:v>获准使用的去标识稿件、期刊或会议要求、评审表和报告规范</x:v>
      </x:c>
      <x:c r="I34" s="17" t="str">
        <x:v>同行评审草稿、主要问题、次要问题、方法与统计检查、修改优先级和供评审人确认的建议</x:v>
      </x:c>
      <x:c r="J34" s="19" t="str">
        <x:v>需要重新改造</x:v>
      </x:c>
      <x:c r="K34" s="19" t="str">
        <x:v>SB-A</x:v>
      </x:c>
      <x:c r="L34" s="17" t="str">
        <x:v>安全等级 SB-A：原包含需要删减或重写的网络、数据、自动决定或权限步骤；正式库只能收录明确列出改造要求的适配方案。</x:v>
      </x:c>
      <x:c r="M34" s="17" t="str">
        <x:v>MIT</x:v>
      </x:c>
      <x:c r="N34" s="17" t="str">
        <x:v>GitHub 固定提交版本</x:v>
      </x:c>
      <x:c r="O34" s="17" t="str">
        <x:v>affaan-m</x:v>
      </x:c>
      <x:c r="P34" s="17" t="str">
        <x:v>affaan-m/ECC</x:v>
      </x:c>
      <x:c r="Q34" s="19" t="str">
        <x:v>59a99d669f5466d99d5be8b6fce8c5f2677766d0</x:v>
      </x:c>
      <x:c r="R34" s="19" t="str">
        <x:v>2026-08-09</x:v>
      </x:c>
      <x:c r="S34" s="17" t="str">
        <x:v>https://github.com/affaan-m/ECC/blob/59a99d669f5466d99d5be8b6fce8c5f2677766d0/skills/scientific-thinking-scholar-evaluation/SKILL.md</x:v>
      </x:c>
    </x:row>
    <x:row r="35" ht="64" customHeight="1">
      <x:c r="A35" s="18" t="n">
        <x:v>31</x:v>
      </x:c>
      <x:c r="B35" s="18" t="str">
        <x:v>FD-06-0295</x:v>
      </x:c>
      <x:c r="C35" s="17" t="str">
        <x:v>scholar-verify</x:v>
      </x:c>
      <x:c r="D35" s="17" t="str">
        <x:v>06-12 期刊与会议论文同行评审</x:v>
      </x:c>
      <x:c r="E35" s="17" t="str">
        <x:v>这个技能主要用于期刊与会议论文同行评审。它可以帮助使用者准备同行评审或审稿意见、检查统计分析和结果解释、检查研究问题、方法和证据、提出具体、可执行的修改意见。</x:v>
      </x:c>
      <x:c r="F35" s="17" t="str">
        <x:v>期刊审稿人、会议评审人、研究人员、编辑</x:v>
      </x:c>
      <x:c r="G35" s="17" t="str">
        <x:v>需要为获准评阅的期刊或会议稿件准备同行评审草稿，或在投稿前模拟审稿时</x:v>
      </x:c>
      <x:c r="H35" s="17" t="str">
        <x:v>获准使用的去标识稿件、期刊或会议要求、评审表和报告规范</x:v>
      </x:c>
      <x:c r="I35" s="17" t="str">
        <x:v>同行评审草稿、主要问题、次要问题、方法与统计检查、修改优先级和供评审人确认的建议</x:v>
      </x:c>
      <x:c r="J35" s="19" t="str">
        <x:v>需要重新改造</x:v>
      </x:c>
      <x:c r="K35" s="19" t="str">
        <x:v>SB-A</x:v>
      </x:c>
      <x:c r="L35" s="17" t="str">
        <x:v>安全等级 SB-A：原包含需要删减或重写的网络、数据、自动决定或权限步骤；正式库只能收录明确列出改造要求的适配方案。</x:v>
      </x:c>
      <x:c r="M35" s="17" t="str">
        <x:v>Open-Scholar-Academic-Noncommercial</x:v>
      </x:c>
      <x:c r="N35" s="17" t="str">
        <x:v>GitHub 固定提交版本</x:v>
      </x:c>
      <x:c r="O35" s="17" t="str">
        <x:v>joshzyj</x:v>
      </x:c>
      <x:c r="P35" s="17" t="str">
        <x:v>joshzyj/open-scholar-skill</x:v>
      </x:c>
      <x:c r="Q35" s="19" t="str">
        <x:v>8d3ddf56d9e10f3c6f8d952167e09c26da6ec596</x:v>
      </x:c>
      <x:c r="R35" s="19" t="str">
        <x:v>2026-08-09</x:v>
      </x:c>
      <x:c r="S35" s="17" t="str">
        <x:v>https://github.com/joshzyj/open-scholar-skill/blob/8d3ddf56d9e10f3c6f8d952167e09c26da6ec596/.claude/skills/scholar-verify/SKILL.md</x:v>
      </x:c>
    </x:row>
    <x:row r="36" ht="64" customHeight="1">
      <x:c r="A36" s="18" t="n">
        <x:v>32</x:v>
      </x:c>
      <x:c r="B36" s="18" t="str">
        <x:v>FD-06-0296</x:v>
      </x:c>
      <x:c r="C36" s="17" t="str">
        <x:v>ScholarAgent paper improvement review</x:v>
      </x:c>
      <x:c r="D36" s="17" t="str">
        <x:v>06-12 期刊与会议论文同行评审</x:v>
      </x:c>
      <x:c r="E36" s="17" t="str">
        <x:v>这个技能主要用于期刊与会议论文同行评审。它可以帮助使用者发现内容覆盖不足和重复、准备阅读清单和阅读提示、检查研究方法是否合适和完整、检查研究问题、方法和证据。</x:v>
      </x:c>
      <x:c r="F36" s="17" t="str">
        <x:v>期刊审稿人、会议评审人、研究人员、编辑</x:v>
      </x:c>
      <x:c r="G36" s="17" t="str">
        <x:v>需要为获准评阅的期刊或会议稿件准备同行评审草稿，或在投稿前模拟审稿时</x:v>
      </x:c>
      <x:c r="H36" s="17" t="str">
        <x:v>获准使用的去标识稿件、期刊或会议要求、评审表和报告规范</x:v>
      </x:c>
      <x:c r="I36" s="17" t="str">
        <x:v>同行评审草稿、主要问题、次要问题、方法与统计检查、修改优先级和供评审人确认的建议</x:v>
      </x:c>
      <x:c r="J36" s="19" t="str">
        <x:v>需要重新改造</x:v>
      </x:c>
      <x:c r="K36" s="19" t="str">
        <x:v>SB-A</x:v>
      </x:c>
      <x:c r="L36" s="17" t="str">
        <x:v>安全等级 SB-A：原包含需要删减或重写的网络、数据、自动决定或权限步骤；正式库只能收录明确列出改造要求的适配方案。</x:v>
      </x:c>
      <x:c r="M36" s="17" t="str">
        <x:v>MIT</x:v>
      </x:c>
      <x:c r="N36" s="17" t="str">
        <x:v>Hugging Face Space 固定版本</x:v>
      </x:c>
      <x:c r="O36" s="17" t="str">
        <x:v>ms732</x:v>
      </x:c>
      <x:c r="P36" s="17" t="str">
        <x:v>huggingface.co/spaces/ms732/ScholarAgent</x:v>
      </x:c>
      <x:c r="Q36" s="19" t="str">
        <x:v>2ed9fbf4747cc7d6952f45e05835c14729bc2861</x:v>
      </x:c>
      <x:c r="R36" s="19" t="str">
        <x:v>2026-08-09</x:v>
      </x:c>
      <x:c r="S36" s="17" t="str">
        <x:v>https://huggingface.co/spaces/ms732/ScholarAgent/tree/2ed9fbf4747cc7d6952f45e05835c14729bc2861</x:v>
      </x:c>
    </x:row>
    <x:row r="37" ht="64" customHeight="1">
      <x:c r="A37" s="18" t="n">
        <x:v>33</x:v>
      </x:c>
      <x:c r="B37" s="18" t="str">
        <x:v>FD-06-0297</x:v>
      </x:c>
      <x:c r="C37" s="17" t="str">
        <x:v>scientific-critical-thinking</x:v>
      </x:c>
      <x:c r="D37" s="17" t="str">
        <x:v>06-12 期刊与会议论文同行评审</x:v>
      </x:c>
      <x:c r="E37" s="17" t="str">
        <x:v>这个技能主要用于期刊与会议论文同行评审。它可以帮助使用者设计实验或实践步骤、按标准检查作业并提出分数建议、识别可能需要支持的学生群体、检查课程或教学材料质量。</x:v>
      </x:c>
      <x:c r="F37" s="17" t="str">
        <x:v>期刊审稿人、会议评审人、研究人员、编辑</x:v>
      </x:c>
      <x:c r="G37" s="17" t="str">
        <x:v>需要为获准评阅的期刊或会议稿件准备同行评审草稿，或在投稿前模拟审稿时</x:v>
      </x:c>
      <x:c r="H37" s="17" t="str">
        <x:v>获准使用的去标识稿件、期刊或会议要求、评审表和报告规范</x:v>
      </x:c>
      <x:c r="I37" s="17" t="str">
        <x:v>同行评审草稿、主要问题、次要问题、方法与统计检查、修改优先级和供评审人确认的建议</x:v>
      </x:c>
      <x:c r="J37" s="19" t="str">
        <x:v>需要重新改造</x:v>
      </x:c>
      <x:c r="K37" s="19" t="str">
        <x:v>SB-A</x:v>
      </x:c>
      <x:c r="L37" s="17" t="str">
        <x:v>安全等级 SB-A：原包含需要删减或重写的网络、数据、自动决定或权限步骤；正式库只能收录明确列出改造要求的适配方案。</x:v>
      </x:c>
      <x:c r="M37" s="17" t="str">
        <x:v>MIT</x:v>
      </x:c>
      <x:c r="N37" s="17" t="str">
        <x:v>GitHub 固定提交版本</x:v>
      </x:c>
      <x:c r="O37" s="17" t="str">
        <x:v>K-Dense-AI</x:v>
      </x:c>
      <x:c r="P37" s="17" t="str">
        <x:v>K-Dense-AI/scientific-agent-skills</x:v>
      </x:c>
      <x:c r="Q37" s="19" t="str">
        <x:v>991bd993aca4e90891d1f9908ba82ef45d77b6f0</x:v>
      </x:c>
      <x:c r="R37" s="19" t="str">
        <x:v>2026-08-09</x:v>
      </x:c>
      <x:c r="S37" s="17" t="str">
        <x:v>https://github.com/K-Dense-AI/scientific-agent-skills/blob/991bd993aca4e90891d1f9908ba82ef45d77b6f0/skills/scientific-critical-thinking/SKILL.md</x:v>
      </x:c>
    </x:row>
    <x:row r="38" ht="64" customHeight="1">
      <x:c r="A38" s="18" t="n">
        <x:v>34</x:v>
      </x:c>
      <x:c r="B38" s="18" t="str">
        <x:v>FD-06-0298</x:v>
      </x:c>
      <x:c r="C38" s="17" t="str">
        <x:v>synthesise-reviews</x:v>
      </x:c>
      <x:c r="D38" s="17" t="str">
        <x:v>06-12 期刊与会议论文同行评审</x:v>
      </x:c>
      <x:c r="E38" s="17" t="str">
        <x:v>这个技能主要用于期刊与会议论文同行评审。它可以帮助使用者评阅课程论文或学位论文、检查研究问题、方法和证据、提出具体、可执行的修改意见、形成结构化同行评审草稿。</x:v>
      </x:c>
      <x:c r="F38" s="17" t="str">
        <x:v>期刊审稿人、会议评审人、研究人员、编辑</x:v>
      </x:c>
      <x:c r="G38" s="17" t="str">
        <x:v>需要为获准评阅的期刊或会议稿件准备同行评审草稿，或在投稿前模拟审稿时</x:v>
      </x:c>
      <x:c r="H38" s="17" t="str">
        <x:v>获准使用的去标识稿件、期刊或会议要求、评审表和报告规范</x:v>
      </x:c>
      <x:c r="I38" s="17" t="str">
        <x:v>同行评审草稿、主要问题、次要问题、方法与统计检查、修改优先级和供评审人确认的建议</x:v>
      </x:c>
      <x:c r="J38" s="19" t="str">
        <x:v>需要重新改造</x:v>
      </x:c>
      <x:c r="K38" s="19" t="str">
        <x:v>SB-A</x:v>
      </x:c>
      <x:c r="L38" s="17" t="str">
        <x:v>安全等级 SB-A：原包含需要删减或重写的网络、数据、自动决定或权限步骤；正式库只能收录明确列出改造要求的适配方案。</x:v>
      </x:c>
      <x:c r="M38" s="17" t="str">
        <x:v>MIT</x:v>
      </x:c>
      <x:c r="N38" s="17" t="str">
        <x:v>GitHub 固定提交版本</x:v>
      </x:c>
      <x:c r="O38" s="17" t="str">
        <x:v>flonat</x:v>
      </x:c>
      <x:c r="P38" s="17" t="str">
        <x:v>flonat/flonat-research</x:v>
      </x:c>
      <x:c r="Q38" s="19" t="str">
        <x:v>e5561f7d6c867526043f0d676cd749cf6c51cefb</x:v>
      </x:c>
      <x:c r="R38" s="19" t="str">
        <x:v>2026-08-09</x:v>
      </x:c>
      <x:c r="S38" s="17" t="str">
        <x:v>https://github.com/flonat/flonat-research/blob/e5561f7d6c867526043f0d676cd749cf6c51cefb/skills/synthesise-reviews/SKILL.md</x:v>
      </x:c>
    </x:row>
  </x:sheetData>
  <x:mergeCells>
    <x:mergeCell ref="A1:S1"/>
    <x:mergeCell ref="A2:S2"/>
  </x:mergeCells>
  <x:conditionalFormatting sqref="K5:K38">
    <x:cfRule type="cellIs" dxfId="0" priority="1" operator="equal">
      <x:formula>"SA"</x:formula>
    </x:cfRule>
    <x:cfRule type="cellIs" dxfId="1" priority="2" operator="equal">
      <x:formula>"SB"</x:formula>
    </x:cfRule>
    <x:cfRule type="cellIs" dxfId="2" priority="3" operator="equal">
      <x:formula>"SB-A"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bb70c54ca944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4" max="4" width="44" hidden="0" customWidth="1"/>
    <x:col min="5" max="5" width="12" hidden="0" customWidth="1"/>
    <x:col min="7" max="7" width="33" hidden="0" customWidth="1"/>
    <x:col min="8" max="8" width="12" hidden="0" customWidth="1"/>
    <x:col min="10" max="10" width="28" hidden="0" customWidth="1"/>
    <x:col min="11" max="11" width="12" hidden="0" customWidth="1"/>
  </x:cols>
  <x:sheetData>
    <x:row r="1" ht="36" customHeight="1">
      <x:c r="A1" s="3" t="str">
        <x:v>06-12 期刊与会议论文同行评审｜分类统计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8" t="str">
        <x:v>核心指标</x:v>
      </x:c>
      <x:c r="B3" s="8" t="str">
        <x:v>数量</x:v>
      </x:c>
      <x:c r="D3" s="8" t="str">
        <x:v>主要小分类</x:v>
      </x:c>
      <x:c r="E3" s="8" t="str">
        <x:v>数量</x:v>
      </x:c>
      <x:c r="G3" s="8" t="str">
        <x:v>来源平台</x:v>
      </x:c>
      <x:c r="H3" s="8" t="str">
        <x:v>数量</x:v>
      </x:c>
      <x:c r="J3" s="8" t="str">
        <x:v>许可证</x:v>
      </x:c>
      <x:c r="K3" s="8" t="str">
        <x:v>数量</x:v>
      </x:c>
    </x:row>
    <x:row r="4">
      <x:c r="A4" s="9" t="str">
        <x:v>正式技能总数</x:v>
      </x:c>
      <x:c r="B4" s="9" t="n">
        <x:f>COUNTA('AI技能清单'!$B$5:$B$38)</x:f>
        <x:v>34</x:v>
      </x:c>
      <x:c r="D4" s="9" t="str">
        <x:v>06-12 期刊与会议论文同行评审</x:v>
      </x:c>
      <x:c r="E4" s="9" t="n">
        <x:f>COUNTIF('AI技能清单'!$D$5:$D$38,D4)</x:f>
        <x:v>34</x:v>
      </x:c>
      <x:c r="G4" s="9" t="str">
        <x:v>GitHub 固定提交版本</x:v>
      </x:c>
      <x:c r="H4" s="9" t="n">
        <x:f>COUNTIF('AI技能清单'!$N$5:$N$38,G4)</x:f>
        <x:v>33</x:v>
      </x:c>
      <x:c r="J4" s="9" t="str">
        <x:v>Apache-2.0</x:v>
      </x:c>
      <x:c r="K4" s="9" t="n">
        <x:f>COUNTIF('AI技能清单'!$M$5:$M$38,J4)</x:f>
        <x:v>2</x:v>
      </x:c>
    </x:row>
    <x:row r="5">
      <x:c r="A5" s="9" t="str">
        <x:v>安全等级 SA</x:v>
      </x:c>
      <x:c r="B5" s="9" t="n">
        <x:f>COUNTIF('AI技能清单'!$K$5:$K$38,"SA")</x:f>
        <x:v>1</x:v>
      </x:c>
      <x:c r="G5" s="9" t="str">
        <x:v>Hugging Face Space 固定版本</x:v>
      </x:c>
      <x:c r="H5" s="9" t="n">
        <x:f>COUNTIF('AI技能清单'!$N$5:$N$38,G5)</x:f>
        <x:v>1</x:v>
      </x:c>
      <x:c r="J5" s="9" t="str">
        <x:v>CC-BY-4.0</x:v>
      </x:c>
      <x:c r="K5" s="9" t="n">
        <x:f>COUNTIF('AI技能清单'!$M$5:$M$38,J5)</x:f>
        <x:v>1</x:v>
      </x:c>
    </x:row>
    <x:row r="6">
      <x:c r="A6" s="9" t="str">
        <x:v>安全等级 SB</x:v>
      </x:c>
      <x:c r="B6" s="9" t="n">
        <x:f>COUNTIF('AI技能清单'!$K$5:$K$38,"SB")</x:f>
        <x:v>0</x:v>
      </x:c>
      <x:c r="J6" s="9" t="str">
        <x:v>CC-BY-NC-4.0</x:v>
      </x:c>
      <x:c r="K6" s="9" t="n">
        <x:f>COUNTIF('AI技能清单'!$M$5:$M$38,J6)</x:f>
        <x:v>1</x:v>
      </x:c>
    </x:row>
    <x:row r="7">
      <x:c r="A7" s="9" t="str">
        <x:v>安全等级 SB-A</x:v>
      </x:c>
      <x:c r="B7" s="9" t="n">
        <x:f>COUNTIF('AI技能清单'!$K$5:$K$38,"SB-A")</x:f>
        <x:v>33</x:v>
      </x:c>
      <x:c r="J7" s="9" t="str">
        <x:v>MIT</x:v>
      </x:c>
      <x:c r="K7" s="9" t="n">
        <x:f>COUNTIF('AI技能清单'!$M$5:$M$38,J7)</x:f>
        <x:v>27</x:v>
      </x:c>
    </x:row>
    <x:row r="8">
      <x:c r="A8" s="9" t="str">
        <x:v>可直接使用</x:v>
      </x:c>
      <x:c r="B8" s="9" t="n">
        <x:f>COUNTIF('AI技能清单'!$J$5:$J$38,"可直接使用")</x:f>
        <x:v>1</x:v>
      </x:c>
      <x:c r="J8" s="9" t="str">
        <x:v>Open-Scholar-Academic-Noncommercial</x:v>
      </x:c>
      <x:c r="K8" s="9" t="n">
        <x:f>COUNTIF('AI技能清单'!$M$5:$M$38,J8)</x:f>
        <x:v>1</x:v>
      </x:c>
    </x:row>
    <x:row r="9">
      <x:c r="A9" s="9" t="str">
        <x:v>需要少量调整</x:v>
      </x:c>
      <x:c r="B9" s="9" t="n">
        <x:f>COUNTIF('AI技能清单'!$J$5:$J$38,"需要少量调整")</x:f>
        <x:v>0</x:v>
      </x:c>
      <x:c r="J9" s="9" t="str">
        <x:v>PolyForm-Noncommercial-1.0.0</x:v>
      </x:c>
      <x:c r="K9" s="9" t="n">
        <x:f>COUNTIF('AI技能清单'!$M$5:$M$38,J9)</x:f>
        <x:v>2</x:v>
      </x:c>
    </x:row>
    <x:row r="10">
      <x:c r="A10" s="9" t="str">
        <x:v>需要重新改造</x:v>
      </x:c>
      <x:c r="B10" s="9" t="n">
        <x:f>COUNTIF('AI技能清单'!$J$5:$J$38,"需要重新改造")</x:f>
        <x:v>33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22" hidden="0" customWidth="1"/>
    <x:col min="4" max="4" width="22" hidden="0" customWidth="1"/>
    <x:col min="5" max="5" width="15" hidden="0" customWidth="1"/>
    <x:col min="6" max="6" width="15" hidden="0" customWidth="1"/>
    <x:col min="7" max="7" width="18" hidden="0" customWidth="1"/>
    <x:col min="8" max="8" width="58" hidden="0" customWidth="1"/>
  </x:cols>
  <x:sheetData>
    <x:row r="1" ht="36" customHeight="1">
      <x:c r="A1" s="3" t="str">
        <x:v>06-12 期刊与会议论文同行评审｜公开来源清单</x:v>
      </x:c>
      <x:c r="B1" s="3"/>
      <x:c r="C1" s="3"/>
      <x:c r="D1" s="3"/>
      <x:c r="E1" s="3"/>
      <x:c r="F1" s="3"/>
      <x:c r="G1" s="3"/>
      <x:c r="H1" s="3"/>
    </x:row>
    <x:row r="2">
      <x:c r="A2" s="5" t="str">
        <x:v>同一来源可能包含多个技能；正式技能数由 AI技能清单自动统计。</x:v>
      </x:c>
      <x:c r="B2" s="5"/>
      <x:c r="C2" s="5"/>
      <x:c r="D2" s="5"/>
      <x:c r="E2" s="5"/>
      <x:c r="F2" s="5"/>
      <x:c r="G2" s="5"/>
      <x:c r="H2" s="5"/>
    </x:row>
    <x:row r="4">
      <x:c r="A4" s="14" t="str">
        <x:v>来源项目</x:v>
      </x:c>
      <x:c r="B4" s="14" t="str">
        <x:v>来源平台</x:v>
      </x:c>
      <x:c r="C4" s="14" t="str">
        <x:v>维护者</x:v>
      </x:c>
      <x:c r="D4" s="14" t="str">
        <x:v>许可证</x:v>
      </x:c>
      <x:c r="E4" s="14" t="str">
        <x:v>固定版本数</x:v>
      </x:c>
      <x:c r="F4" s="14" t="str">
        <x:v>正式技能数</x:v>
      </x:c>
      <x:c r="G4" s="14" t="str">
        <x:v>安全等级</x:v>
      </x:c>
      <x:c r="H4" s="14" t="str">
        <x:v>示例地址</x:v>
      </x:c>
    </x:row>
    <x:row r="5">
      <x:c r="A5" s="17" t="str">
        <x:v>affaan-m/ECC</x:v>
      </x:c>
      <x:c r="B5" s="17" t="str">
        <x:v>GitHub 固定提交版本</x:v>
      </x:c>
      <x:c r="C5" s="17" t="str">
        <x:v>affaan-m</x:v>
      </x:c>
      <x:c r="D5" s="17" t="str">
        <x:v>MIT</x:v>
      </x:c>
      <x:c r="E5" s="19" t="n">
        <x:v>1</x:v>
      </x:c>
      <x:c r="F5" s="19" t="n">
        <x:f>COUNTIF('AI技能清单'!$P$5:$P$38,A5)</x:f>
        <x:v>1</x:v>
      </x:c>
      <x:c r="G5" s="19" t="str">
        <x:v>SB-A</x:v>
      </x:c>
      <x:c r="H5" s="17" t="str">
        <x:v>https://github.com/affaan-m/ECC/blob/59a99d669f5466d99d5be8b6fce8c5f2677766d0/skills/scientific-thinking-scholar-evaluation/SKILL.md</x:v>
      </x:c>
    </x:row>
    <x:row r="6">
      <x:c r="A6" s="17" t="str">
        <x:v>aipoch/medical-research-skills</x:v>
      </x:c>
      <x:c r="B6" s="17" t="str">
        <x:v>GitHub 固定提交版本</x:v>
      </x:c>
      <x:c r="C6" s="17" t="str">
        <x:v>aipoch</x:v>
      </x:c>
      <x:c r="D6" s="17" t="str">
        <x:v>MIT</x:v>
      </x:c>
      <x:c r="E6" s="19" t="n">
        <x:v>1</x:v>
      </x:c>
      <x:c r="F6" s="19" t="n">
        <x:f>COUNTIF('AI技能清单'!$P$5:$P$38,A6)</x:f>
        <x:v>2</x:v>
      </x:c>
      <x:c r="G6" s="19" t="str">
        <x:v>SB-A</x:v>
      </x:c>
      <x:c r="H6" s="17" t="str">
        <x:v>https://github.com/aipoch/medical-research-skills/blob/f5ef65b9bea79b6dd9553f52f95b0d08f7d64d26/scientific-skills/Academic%20Writing/peer-review/SKILL.md</x:v>
      </x:c>
    </x:row>
    <x:row r="7">
      <x:c r="A7" s="17" t="str">
        <x:v>AlexWortega/ai-peer-review-skill</x:v>
      </x:c>
      <x:c r="B7" s="17" t="str">
        <x:v>GitHub 固定提交版本</x:v>
      </x:c>
      <x:c r="C7" s="17" t="str">
        <x:v>AlexWortega</x:v>
      </x:c>
      <x:c r="D7" s="17" t="str">
        <x:v>MIT</x:v>
      </x:c>
      <x:c r="E7" s="19" t="n">
        <x:v>1</x:v>
      </x:c>
      <x:c r="F7" s="19" t="n">
        <x:f>COUNTIF('AI技能清单'!$P$5:$P$38,A7)</x:f>
        <x:v>1</x:v>
      </x:c>
      <x:c r="G7" s="19" t="str">
        <x:v>SB-A</x:v>
      </x:c>
      <x:c r="H7" s="17" t="str">
        <x:v>https://github.com/AlexWortega/ai-peer-review-skill/blob/e4f6a0b2bd4530ebcd69ac90f2bbed5377b14206/SKILL.md</x:v>
      </x:c>
    </x:row>
    <x:row r="8">
      <x:c r="A8" s="17" t="str">
        <x:v>AlterLab-IEU/AlterLab-Academic-Skills</x:v>
      </x:c>
      <x:c r="B8" s="17" t="str">
        <x:v>GitHub 固定提交版本</x:v>
      </x:c>
      <x:c r="C8" s="17" t="str">
        <x:v>AlterLab-IEU</x:v>
      </x:c>
      <x:c r="D8" s="17" t="str">
        <x:v>MIT</x:v>
      </x:c>
      <x:c r="E8" s="19" t="n">
        <x:v>1</x:v>
      </x:c>
      <x:c r="F8" s="19" t="n">
        <x:f>COUNTIF('AI技能清单'!$P$5:$P$38,A8)</x:f>
        <x:v>2</x:v>
      </x:c>
      <x:c r="G8" s="19" t="str">
        <x:v>SB-A</x:v>
      </x:c>
      <x:c r="H8" s="17" t="str">
        <x:v>https://github.com/AlterLab-IEU/AlterLab-Academic-Skills/blob/a0064fd54180541785cd1986ad8eb1689b834270/skills/core/alterlab-paper-reviewer/SKILL.md</x:v>
      </x:c>
    </x:row>
    <x:row r="9">
      <x:c r="A9" s="17" t="str">
        <x:v>BESSER-PEARL/research-agent-skills</x:v>
      </x:c>
      <x:c r="B9" s="17" t="str">
        <x:v>GitHub 固定提交版本</x:v>
      </x:c>
      <x:c r="C9" s="17" t="str">
        <x:v>BESSER-PEARL</x:v>
      </x:c>
      <x:c r="D9" s="17" t="str">
        <x:v>MIT</x:v>
      </x:c>
      <x:c r="E9" s="19" t="n">
        <x:v>1</x:v>
      </x:c>
      <x:c r="F9" s="19" t="n">
        <x:f>COUNTIF('AI技能清单'!$P$5:$P$38,A9)</x:f>
        <x:v>1</x:v>
      </x:c>
      <x:c r="G9" s="19" t="str">
        <x:v>SB-A</x:v>
      </x:c>
      <x:c r="H9" s="17" t="str">
        <x:v>https://github.com/BESSER-PEARL/research-agent-skills/blob/03d3c49ac1698c9d29cc4c0f5e8eeca17210bd51/research-paper-review/SKILL.md</x:v>
      </x:c>
    </x:row>
    <x:row r="10">
      <x:c r="A10" s="17" t="str">
        <x:v>bytedance/deer-flow</x:v>
      </x:c>
      <x:c r="B10" s="17" t="str">
        <x:v>GitHub 固定提交版本</x:v>
      </x:c>
      <x:c r="C10" s="17" t="str">
        <x:v>bytedance</x:v>
      </x:c>
      <x:c r="D10" s="17" t="str">
        <x:v>MIT</x:v>
      </x:c>
      <x:c r="E10" s="19" t="n">
        <x:v>1</x:v>
      </x:c>
      <x:c r="F10" s="19" t="n">
        <x:f>COUNTIF('AI技能清单'!$P$5:$P$38,A10)</x:f>
        <x:v>1</x:v>
      </x:c>
      <x:c r="G10" s="19" t="str">
        <x:v>SB-A</x:v>
      </x:c>
      <x:c r="H10" s="17" t="str">
        <x:v>https://github.com/bytedance/deer-flow/blob/e16ef2969b1446162e19af7bdde1446674851e66/skills/public/academic-paper-review/SKILL.md</x:v>
      </x:c>
    </x:row>
    <x:row r="11">
      <x:c r="A11" s="17" t="str">
        <x:v>claesbackman/AI-research-feedback</x:v>
      </x:c>
      <x:c r="B11" s="17" t="str">
        <x:v>GitHub 固定提交版本</x:v>
      </x:c>
      <x:c r="C11" s="17" t="str">
        <x:v>claesbackman</x:v>
      </x:c>
      <x:c r="D11" s="17" t="str">
        <x:v>MIT</x:v>
      </x:c>
      <x:c r="E11" s="19" t="n">
        <x:v>1</x:v>
      </x:c>
      <x:c r="F11" s="19" t="n">
        <x:f>COUNTIF('AI技能清单'!$P$5:$P$38,A11)</x:f>
        <x:v>4</x:v>
      </x:c>
      <x:c r="G11" s="19" t="str">
        <x:v>SB-A</x:v>
      </x:c>
      <x:c r="H11" s="17" t="str">
        <x:v>https://github.com/claesbackman/AI-research-feedback/blob/d39b192304121836cd2587a625fa7b7c0ed11963/Skills/review-pap/SKILL.md</x:v>
      </x:c>
    </x:row>
    <x:row r="12">
      <x:c r="A12" s="17" t="str">
        <x:v>cmertdalli/polisci-review</x:v>
      </x:c>
      <x:c r="B12" s="17" t="str">
        <x:v>GitHub 固定提交版本</x:v>
      </x:c>
      <x:c r="C12" s="17" t="str">
        <x:v>cmertdalli</x:v>
      </x:c>
      <x:c r="D12" s="17" t="str">
        <x:v>MIT</x:v>
      </x:c>
      <x:c r="E12" s="19" t="n">
        <x:v>1</x:v>
      </x:c>
      <x:c r="F12" s="19" t="n">
        <x:f>COUNTIF('AI技能清单'!$P$5:$P$38,A12)</x:f>
        <x:v>1</x:v>
      </x:c>
      <x:c r="G12" s="19" t="str">
        <x:v>SB-A</x:v>
      </x:c>
      <x:c r="H12" s="17" t="str">
        <x:v>https://github.com/cmertdalli/polisci-review/blob/df5e14f35aeebea4d222171604999730aa3eca25/adapters/codex-skill/polisci-review/SKILL.md</x:v>
      </x:c>
    </x:row>
    <x:row r="13">
      <x:c r="A13" s="17" t="str">
        <x:v>flonat/flonat-research</x:v>
      </x:c>
      <x:c r="B13" s="17" t="str">
        <x:v>GitHub 固定提交版本</x:v>
      </x:c>
      <x:c r="C13" s="17" t="str">
        <x:v>flonat</x:v>
      </x:c>
      <x:c r="D13" s="17" t="str">
        <x:v>MIT</x:v>
      </x:c>
      <x:c r="E13" s="19" t="n">
        <x:v>1</x:v>
      </x:c>
      <x:c r="F13" s="19" t="n">
        <x:f>COUNTIF('AI技能清单'!$P$5:$P$38,A13)</x:f>
        <x:v>4</x:v>
      </x:c>
      <x:c r="G13" s="19" t="str">
        <x:v>SB-A</x:v>
      </x:c>
      <x:c r="H13" s="17" t="str">
        <x:v>https://github.com/flonat/flonat-research/blob/e5561f7d6c867526043f0d676cd749cf6c51cefb/agents/peer-reviewer.md</x:v>
      </x:c>
    </x:row>
    <x:row r="14">
      <x:c r="A14" s="17" t="str">
        <x:v>GhostScientist/skills</x:v>
      </x:c>
      <x:c r="B14" s="17" t="str">
        <x:v>GitHub 固定提交版本</x:v>
      </x:c>
      <x:c r="C14" s="17" t="str">
        <x:v>GhostScientist</x:v>
      </x:c>
      <x:c r="D14" s="17" t="str">
        <x:v>Apache-2.0</x:v>
      </x:c>
      <x:c r="E14" s="19" t="n">
        <x:v>1</x:v>
      </x:c>
      <x:c r="F14" s="19" t="n">
        <x:f>COUNTIF('AI技能清单'!$P$5:$P$38,A14)</x:f>
        <x:v>1</x:v>
      </x:c>
      <x:c r="G14" s="19" t="str">
        <x:v>SB-A</x:v>
      </x:c>
      <x:c r="H14" s="17" t="str">
        <x:v>https://github.com/GhostScientist/skills/blob/a7b17c914b2d876553b1ad0595850a679bf4b9e9/skills/reviewer-2-simulator/SKILL.md</x:v>
      </x:c>
    </x:row>
    <x:row r="15">
      <x:c r="A15" s="17" t="str">
        <x:v>hanlulong/econ-paper-review-skill</x:v>
      </x:c>
      <x:c r="B15" s="17" t="str">
        <x:v>GitHub 固定提交版本</x:v>
      </x:c>
      <x:c r="C15" s="17" t="str">
        <x:v>hanlulong</x:v>
      </x:c>
      <x:c r="D15" s="17" t="str">
        <x:v>PolyForm-Noncommercial-1.0.0</x:v>
      </x:c>
      <x:c r="E15" s="19" t="n">
        <x:v>1</x:v>
      </x:c>
      <x:c r="F15" s="19" t="n">
        <x:f>COUNTIF('AI技能清单'!$P$5:$P$38,A15)</x:f>
        <x:v>1</x:v>
      </x:c>
      <x:c r="G15" s="19" t="str">
        <x:v>SB-A</x:v>
      </x:c>
      <x:c r="H15" s="17" t="str">
        <x:v>https://github.com/hanlulong/econ-paper-review-skill/blob/de9e5491c7214ba3fde5e5c7e858ea0361371410/econ-review/SKILL.md</x:v>
      </x:c>
    </x:row>
    <x:row r="16">
      <x:c r="A16" s="17" t="str">
        <x:v>huggingface.co/spaces/ms732/ScholarAgent</x:v>
      </x:c>
      <x:c r="B16" s="17" t="str">
        <x:v>Hugging Face Space 固定版本</x:v>
      </x:c>
      <x:c r="C16" s="17" t="str">
        <x:v>ms732</x:v>
      </x:c>
      <x:c r="D16" s="17" t="str">
        <x:v>MIT</x:v>
      </x:c>
      <x:c r="E16" s="19" t="n">
        <x:v>1</x:v>
      </x:c>
      <x:c r="F16" s="19" t="n">
        <x:f>COUNTIF('AI技能清单'!$P$5:$P$38,A16)</x:f>
        <x:v>1</x:v>
      </x:c>
      <x:c r="G16" s="19" t="str">
        <x:v>SB-A</x:v>
      </x:c>
      <x:c r="H16" s="17" t="str">
        <x:v>https://huggingface.co/spaces/ms732/ScholarAgent/tree/2ed9fbf4747cc7d6952f45e05835c14729bc2861</x:v>
      </x:c>
    </x:row>
    <x:row r="17">
      <x:c r="A17" s="17" t="str">
        <x:v>Imbad0202/academic-research-skills</x:v>
      </x:c>
      <x:c r="B17" s="17" t="str">
        <x:v>GitHub 固定提交版本</x:v>
      </x:c>
      <x:c r="C17" s="17" t="str">
        <x:v>Imbad0202</x:v>
      </x:c>
      <x:c r="D17" s="17" t="str">
        <x:v>CC-BY-NC-4.0</x:v>
      </x:c>
      <x:c r="E17" s="19" t="n">
        <x:v>1</x:v>
      </x:c>
      <x:c r="F17" s="19" t="n">
        <x:f>COUNTIF('AI技能清单'!$P$5:$P$38,A17)</x:f>
        <x:v>1</x:v>
      </x:c>
      <x:c r="G17" s="19" t="str">
        <x:v>SB-A</x:v>
      </x:c>
      <x:c r="H17" s="17" t="str">
        <x:v>https://github.com/Imbad0202/academic-research-skills/blob/033491c1b6b7fc4a31a8ccaa0c5231f00350bf22/academic-paper-reviewer/SKILL.md</x:v>
      </x:c>
    </x:row>
    <x:row r="18">
      <x:c r="A18" s="17" t="str">
        <x:v>joshzyj/open-scholar-skill</x:v>
      </x:c>
      <x:c r="B18" s="17" t="str">
        <x:v>GitHub 固定提交版本</x:v>
      </x:c>
      <x:c r="C18" s="17" t="str">
        <x:v>joshzyj</x:v>
      </x:c>
      <x:c r="D18" s="17" t="str">
        <x:v>Open-Scholar-Academic-Noncommercial</x:v>
      </x:c>
      <x:c r="E18" s="19" t="n">
        <x:v>1</x:v>
      </x:c>
      <x:c r="F18" s="19" t="n">
        <x:f>COUNTIF('AI技能清单'!$P$5:$P$38,A18)</x:f>
        <x:v>1</x:v>
      </x:c>
      <x:c r="G18" s="19" t="str">
        <x:v>SB-A</x:v>
      </x:c>
      <x:c r="H18" s="17" t="str">
        <x:v>https://github.com/joshzyj/open-scholar-skill/blob/8d3ddf56d9e10f3c6f8d952167e09c26da6ec596/.claude/skills/scholar-verify/SKILL.md</x:v>
      </x:c>
    </x:row>
    <x:row r="19">
      <x:c r="A19" s="17" t="str">
        <x:v>K-Dense-AI/scientific-agent-skills</x:v>
      </x:c>
      <x:c r="B19" s="17" t="str">
        <x:v>GitHub 固定提交版本</x:v>
      </x:c>
      <x:c r="C19" s="17" t="str">
        <x:v>K-Dense-AI</x:v>
      </x:c>
      <x:c r="D19" s="17" t="str">
        <x:v>MIT</x:v>
      </x:c>
      <x:c r="E19" s="19" t="n">
        <x:v>1</x:v>
      </x:c>
      <x:c r="F19" s="19" t="n">
        <x:f>COUNTIF('AI技能清单'!$P$5:$P$38,A19)</x:f>
        <x:v>3</x:v>
      </x:c>
      <x:c r="G19" s="19" t="str">
        <x:v>SB-A</x:v>
      </x:c>
      <x:c r="H19" s="17" t="str">
        <x:v>https://github.com/K-Dense-AI/scientific-agent-skills/blob/991bd993aca4e90891d1f9908ba82ef45d77b6f0/skills/peer-review/SKILL.md</x:v>
      </x:c>
    </x:row>
    <x:row r="20">
      <x:c r="A20" s="17" t="str">
        <x:v>labarba/sciwrite</x:v>
      </x:c>
      <x:c r="B20" s="17" t="str">
        <x:v>GitHub 固定提交版本</x:v>
      </x:c>
      <x:c r="C20" s="17" t="str">
        <x:v>labarba</x:v>
      </x:c>
      <x:c r="D20" s="17" t="str">
        <x:v>CC-BY-4.0</x:v>
      </x:c>
      <x:c r="E20" s="19" t="n">
        <x:v>1</x:v>
      </x:c>
      <x:c r="F20" s="19" t="n">
        <x:f>COUNTIF('AI技能清单'!$P$5:$P$38,A20)</x:f>
        <x:v>1</x:v>
      </x:c>
      <x:c r="G20" s="19" t="str">
        <x:v>SB-A</x:v>
      </x:c>
      <x:c r="H20" s="17" t="str">
        <x:v>https://github.com/labarba/sciwrite/blob/64b128b88fdaadfd1eb312f42c2ae1475f91b512/SKILL.md</x:v>
      </x:c>
    </x:row>
    <x:row r="21">
      <x:c r="A21" s="17" t="str">
        <x:v>MattArtzAnthro/AI-Anthropology-Toolkit</x:v>
      </x:c>
      <x:c r="B21" s="17" t="str">
        <x:v>GitHub 固定提交版本</x:v>
      </x:c>
      <x:c r="C21" s="17" t="str">
        <x:v>MattArtzAnthro</x:v>
      </x:c>
      <x:c r="D21" s="17" t="str">
        <x:v>PolyForm-Noncommercial-1.0.0</x:v>
      </x:c>
      <x:c r="E21" s="19" t="n">
        <x:v>1</x:v>
      </x:c>
      <x:c r="F21" s="19" t="n">
        <x:f>COUNTIF('AI技能清单'!$P$5:$P$38,A21)</x:f>
        <x:v>1</x:v>
      </x:c>
      <x:c r="G21" s="19" t="str">
        <x:v>SA</x:v>
      </x:c>
      <x:c r="H21" s="17" t="str">
        <x:v>https://github.com/MattArtzAnthro/AI-Anthropology-Toolkit/blob/271f47d5c64e6fdfe39846441787e3db1c7284a4/skills/academic-review/SKILL.md</x:v>
      </x:c>
    </x:row>
    <x:row r="22">
      <x:c r="A22" s="17" t="str">
        <x:v>pengkangzhen/academic-review-skill</x:v>
      </x:c>
      <x:c r="B22" s="17" t="str">
        <x:v>GitHub 固定提交版本</x:v>
      </x:c>
      <x:c r="C22" s="17" t="str">
        <x:v>pengkangzhen</x:v>
      </x:c>
      <x:c r="D22" s="17" t="str">
        <x:v>MIT</x:v>
      </x:c>
      <x:c r="E22" s="19" t="n">
        <x:v>1</x:v>
      </x:c>
      <x:c r="F22" s="19" t="n">
        <x:f>COUNTIF('AI技能清单'!$P$5:$P$38,A22)</x:f>
        <x:v>1</x:v>
      </x:c>
      <x:c r="G22" s="19" t="str">
        <x:v>SB-A</x:v>
      </x:c>
      <x:c r="H22" s="17" t="str">
        <x:v>https://github.com/pengkangzhen/academic-review-skill/blob/c5a26d9711d455305f1a87229bd5210d0a0d3b4c/skills/academic-reviewer-or/SKILL.md</x:v>
      </x:c>
    </x:row>
    <x:row r="23">
      <x:c r="A23" s="17" t="str">
        <x:v>richard-kim-79/archora-skills</x:v>
      </x:c>
      <x:c r="B23" s="17" t="str">
        <x:v>GitHub 固定提交版本</x:v>
      </x:c>
      <x:c r="C23" s="17" t="str">
        <x:v>richard-kim-79</x:v>
      </x:c>
      <x:c r="D23" s="17" t="str">
        <x:v>MIT</x:v>
      </x:c>
      <x:c r="E23" s="19" t="n">
        <x:v>1</x:v>
      </x:c>
      <x:c r="F23" s="19" t="n">
        <x:f>COUNTIF('AI技能清单'!$P$5:$P$38,A23)</x:f>
        <x:v>1</x:v>
      </x:c>
      <x:c r="G23" s="19" t="str">
        <x:v>SB-A</x:v>
      </x:c>
      <x:c r="H23" s="17" t="str">
        <x:v>https://github.com/richard-kim-79/archora-skills/blob/8743cc5f62c7c15cc5b961918b6e67def0f0ce1f/skills/peer-review/SKILL.md</x:v>
      </x:c>
    </x:row>
    <x:row r="24">
      <x:c r="A24" s="17" t="str">
        <x:v>shaowen-ye/manuscript-review-skill</x:v>
      </x:c>
      <x:c r="B24" s="17" t="str">
        <x:v>GitHub 固定提交版本</x:v>
      </x:c>
      <x:c r="C24" s="17" t="str">
        <x:v>shaowen-ye</x:v>
      </x:c>
      <x:c r="D24" s="17" t="str">
        <x:v>MIT</x:v>
      </x:c>
      <x:c r="E24" s="19" t="n">
        <x:v>1</x:v>
      </x:c>
      <x:c r="F24" s="19" t="n">
        <x:f>COUNTIF('AI技能清单'!$P$5:$P$38,A24)</x:f>
        <x:v>1</x:v>
      </x:c>
      <x:c r="G24" s="19" t="str">
        <x:v>SB-A</x:v>
      </x:c>
      <x:c r="H24" s="17" t="str">
        <x:v>https://github.com/shaowen-ye/manuscript-review-skill/blob/b96f1356d4a8e9c07cd63349f51cd67f6677906c/SKILL.md</x:v>
      </x:c>
    </x:row>
    <x:row r="25">
      <x:c r="A25" s="17" t="str">
        <x:v>stephenturner/skill-peer-review-assistant</x:v>
      </x:c>
      <x:c r="B25" s="17" t="str">
        <x:v>GitHub 固定提交版本</x:v>
      </x:c>
      <x:c r="C25" s="17" t="str">
        <x:v>stephenturner</x:v>
      </x:c>
      <x:c r="D25" s="17" t="str">
        <x:v>MIT</x:v>
      </x:c>
      <x:c r="E25" s="19" t="n">
        <x:v>1</x:v>
      </x:c>
      <x:c r="F25" s="19" t="n">
        <x:f>COUNTIF('AI技能清单'!$P$5:$P$38,A25)</x:f>
        <x:v>1</x:v>
      </x:c>
      <x:c r="G25" s="19" t="str">
        <x:v>SB-A</x:v>
      </x:c>
      <x:c r="H25" s="17" t="str">
        <x:v>https://github.com/stephenturner/skill-peer-review-assistant/blob/ef30b0f9790eb419bbfe25906472b727dbd69de3/SKILL.md</x:v>
      </x:c>
    </x:row>
    <x:row r="26">
      <x:c r="A26" s="17" t="str">
        <x:v>TobiasBlask/open-paper-machine</x:v>
      </x:c>
      <x:c r="B26" s="17" t="str">
        <x:v>GitHub 固定提交版本</x:v>
      </x:c>
      <x:c r="C26" s="17" t="str">
        <x:v>TobiasBlask</x:v>
      </x:c>
      <x:c r="D26" s="17" t="str">
        <x:v>MIT</x:v>
      </x:c>
      <x:c r="E26" s="19" t="n">
        <x:v>1</x:v>
      </x:c>
      <x:c r="F26" s="19" t="n">
        <x:f>COUNTIF('AI技能清单'!$P$5:$P$38,A26)</x:f>
        <x:v>2</x:v>
      </x:c>
      <x:c r="G26" s="19" t="str">
        <x:v>SB-A</x:v>
      </x:c>
      <x:c r="H26" s="17" t="str">
        <x:v>https://github.com/TobiasBlask/open-paper-machine/blob/160df4d13d266411f0850c4de7ecdbd93e8b40be/scientific-skills/peer-review/SKILL.md</x:v>
      </x:c>
    </x:row>
    <x:row r="27">
      <x:c r="A27" s="17" t="str">
        <x:v>Yuan1z0825/nature-skills</x:v>
      </x:c>
      <x:c r="B27" s="17" t="str">
        <x:v>GitHub 固定提交版本</x:v>
      </x:c>
      <x:c r="C27" s="17" t="str">
        <x:v>Yuan1z0825</x:v>
      </x:c>
      <x:c r="D27" s="17" t="str">
        <x:v>Apache-2.0</x:v>
      </x:c>
      <x:c r="E27" s="19" t="n">
        <x:v>1</x:v>
      </x:c>
      <x:c r="F27" s="19" t="n">
        <x:f>COUNTIF('AI技能清单'!$P$5:$P$38,A27)</x:f>
        <x:v>1</x:v>
      </x:c>
      <x:c r="G27" s="19" t="str">
        <x:v>SB-A</x:v>
      </x:c>
      <x:c r="H27" s="17" t="str">
        <x:v>https://github.com/Yuan1z0825/nature-skills/blob/adb7b8a5a7d72ed6fe9f71e085785e9972dd8db2/skills/nature-reviewer/SKILL.md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353b156a9964a68"/>
  </x:tableParts>
</x:worksheet>
</file>