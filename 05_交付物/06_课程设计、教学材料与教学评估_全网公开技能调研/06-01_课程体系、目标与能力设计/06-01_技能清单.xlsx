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58bae135a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a901f7fcab84fb7"/>
    <x:sheet xmlns:r="http://schemas.openxmlformats.org/officeDocument/2006/relationships" name="AI技能清单" sheetId="2" r:id="Ra4887377c0164f75"/>
    <x:sheet xmlns:r="http://schemas.openxmlformats.org/officeDocument/2006/relationships" name="分类统计" sheetId="3" r:id="R21d8fcf401fe4d2b"/>
    <x:sheet xmlns:r="http://schemas.openxmlformats.org/officeDocument/2006/relationships" name="来源清单" sheetId="4" r:id="Rb2436df1d246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de47b4c9b4e7d" /><Relationship Type="http://schemas.openxmlformats.org/officeDocument/2006/relationships/theme" Target="/xl/theme/theme1.xml" Id="R5d62410028164987" /><Relationship Type="http://schemas.openxmlformats.org/officeDocument/2006/relationships/sharedStrings" Target="/xl/sharedStrings.xml" Id="Rf7e549b729fa4366" /><Relationship Type="http://schemas.openxmlformats.org/officeDocument/2006/relationships/worksheet" Target="/xl/worksheets/sheet1.xml" Id="Raa901f7fcab84fb7" /><Relationship Type="http://schemas.openxmlformats.org/officeDocument/2006/relationships/worksheet" Target="/xl/worksheets/sheet2.xml" Id="Ra4887377c0164f75" /><Relationship Type="http://schemas.openxmlformats.org/officeDocument/2006/relationships/worksheet" Target="/xl/worksheets/sheet3.xml" Id="R21d8fcf401fe4d2b" /><Relationship Type="http://schemas.openxmlformats.org/officeDocument/2006/relationships/worksheet" Target="/xl/worksheets/sheet4.xml" Id="Rb2436df1d24641e8" /></Relationships>
</file>

<file path=xl/tables/table1.xml><?xml version="1.0" encoding="utf-8"?>
<x:table xmlns:x="http://schemas.openxmlformats.org/spreadsheetml/2006/main" id="1" name="FD06Skills0601" displayName="FD06Skills0601" ref="A4:S39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1" displayName="FD06Sources0601" ref="A4:H14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af7f695f7345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7d2734a5b844f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06-01 课程体系、目标与能力设计｜使用说明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35</x:v>
      </x:c>
    </x:row>
    <x:row r="7">
      <x:c r="A7" s="11" t="str">
        <x:v>收录范围</x:v>
      </x:c>
      <x:c r="B7" s="12" t="str">
        <x:v>06-01 课程体系、目标与能力设计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06-01 课程体系、目标与能力设计｜正式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35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FD-06-0001</x:v>
      </x:c>
      <x:c r="C5" s="17" t="str">
        <x:v>accreditation-mapper</x:v>
      </x:c>
      <x:c r="D5" s="17" t="str">
        <x:v>06-01 课程体系、目标与能力设计</x:v>
      </x:c>
      <x:c r="E5" s="17" t="str">
        <x:v>这个技能主要用于课程体系、目标与能力设计。它可以帮助使用者对应认证标准和学习成果要求、制作课程或知识点对应关系、梳理学习目标和能力要求、发现内容覆盖不足和重复。</x:v>
      </x:c>
      <x:c r="F5" s="17" t="str">
        <x:v>教师、专业负责人、教学管理人员</x:v>
      </x:c>
      <x:c r="G5" s="17" t="str">
        <x:v>需要规划一门课程或一组课程的学习目标、能力要求、前后衔接和认证对应关系时</x:v>
      </x:c>
      <x:c r="H5" s="17" t="str">
        <x:v>培养目标、课程定位、学生基础、课程清单、认证或学校要求</x:v>
      </x:c>
      <x:c r="I5" s="17" t="str">
        <x:v>课程目标、能力矩阵、课程地图、内容缺口和调整建议</x:v>
      </x:c>
      <x:c r="J5" s="19" t="str">
        <x:v>可直接使用</x:v>
      </x:c>
      <x:c r="K5" s="19" t="str">
        <x:v>SA</x:v>
      </x:c>
      <x:c r="L5" s="17" t="str">
        <x:v>安全等级 SA：固定版本主要由说明、清单或模板组成，静态检查未发现账号、外部写回或可执行载荷方面的阻断性问题。</x:v>
      </x:c>
      <x:c r="M5" s="17" t="str">
        <x:v>MIT</x:v>
      </x:c>
      <x:c r="N5" s="17" t="str">
        <x:v>GitHub 固定提交版本</x:v>
      </x:c>
      <x:c r="O5" s="17" t="str">
        <x:v>YujxZJCN</x:v>
      </x:c>
      <x:c r="P5" s="17" t="str">
        <x:v>YujxZJCN/teaching-skills</x:v>
      </x:c>
      <x:c r="Q5" s="19" t="str">
        <x:v>50258caf73fb0495adc725864fdf278a3072716c</x:v>
      </x:c>
      <x:c r="R5" s="19" t="str">
        <x:v>2026-08-09</x:v>
      </x:c>
      <x:c r="S5" s="17" t="str">
        <x:v>https://github.com/YujxZJCN/teaching-skills/blob/50258caf73fb0495adc725864fdf278a3072716c/accreditation-mapper/SKILL.md</x:v>
      </x:c>
    </x:row>
    <x:row r="6" ht="64" customHeight="1">
      <x:c r="A6" s="18" t="n">
        <x:v>2</x:v>
      </x:c>
      <x:c r="B6" s="18" t="str">
        <x:v>FD-06-0002</x:v>
      </x:c>
      <x:c r="C6" s="17" t="str">
        <x:v>alterlab-accreditation-aol</x:v>
      </x:c>
      <x:c r="D6" s="17" t="str">
        <x:v>06-01 课程体系、目标与能力设计</x:v>
      </x:c>
      <x:c r="E6" s="17" t="str">
        <x:v>这个技能主要用于课程体系、目标与能力设计。它可以帮助使用者对应认证标准和学习成果要求、制作课程或知识点对应关系、梳理学习目标和能力要求、发现内容覆盖不足和重复。</x:v>
      </x:c>
      <x:c r="F6" s="17" t="str">
        <x:v>教师、专业负责人、教学管理人员</x:v>
      </x:c>
      <x:c r="G6" s="17" t="str">
        <x:v>需要规划一门课程或一组课程的学习目标、能力要求、前后衔接和认证对应关系时</x:v>
      </x:c>
      <x:c r="H6" s="17" t="str">
        <x:v>培养目标、课程定位、学生基础、课程清单、认证或学校要求</x:v>
      </x:c>
      <x:c r="I6" s="17" t="str">
        <x:v>课程目标、能力矩阵、课程地图、内容缺口和调整建议</x:v>
      </x:c>
      <x:c r="J6" s="19" t="str">
        <x:v>需要少量调整</x:v>
      </x:c>
      <x:c r="K6" s="19" t="str">
        <x:v>SB</x:v>
      </x:c>
      <x:c r="L6" s="17" t="str">
        <x:v>安全等级 SB：固定版本存在可识别的脚本、联网或受控文件操作；在限定目录、最小权限和人工确认下可作为候选采用。</x:v>
      </x:c>
      <x:c r="M6" s="17" t="str">
        <x:v>MIT</x:v>
      </x:c>
      <x:c r="N6" s="17" t="str">
        <x:v>GitHub 固定提交版本</x:v>
      </x:c>
      <x:c r="O6" s="17" t="str">
        <x:v>AlterLab-IEU</x:v>
      </x:c>
      <x:c r="P6" s="17" t="str">
        <x:v>AlterLab-IEU/AlterLab-Academic-Skills</x:v>
      </x:c>
      <x:c r="Q6" s="19" t="str">
        <x:v>a0064fd54180541785cd1986ad8eb1689b834270</x:v>
      </x:c>
      <x:c r="R6" s="19" t="str">
        <x:v>2026-08-09</x:v>
      </x:c>
      <x:c r="S6" s="17" t="str">
        <x:v>https://github.com/AlterLab-IEU/AlterLab-Academic-Skills/blob/a0064fd54180541785cd1986ad8eb1689b834270/skills/faculty-life/alterlab-accreditation-aol/SKILL.md</x:v>
      </x:c>
    </x:row>
    <x:row r="7" ht="64" customHeight="1">
      <x:c r="A7" s="18" t="n">
        <x:v>3</x:v>
      </x:c>
      <x:c r="B7" s="18" t="str">
        <x:v>FD-06-0003</x:v>
      </x:c>
      <x:c r="C7" s="17" t="str">
        <x:v>alterlab-teaching-design</x:v>
      </x:c>
      <x:c r="D7" s="17" t="str">
        <x:v>06-01 课程体系、目标与能力设计</x:v>
      </x:c>
      <x:c r="E7" s="17" t="str">
        <x:v>这个技能主要用于课程体系、目标与能力设计。它可以帮助使用者制作课程或知识点对应关系、梳理学习目标和能力要求、检查目标、活动与评价是否相互支持、编写或检查教学大纲。</x:v>
      </x:c>
      <x:c r="F7" s="17" t="str">
        <x:v>教师、专业负责人、教学管理人员</x:v>
      </x:c>
      <x:c r="G7" s="17" t="str">
        <x:v>需要规划一门课程或一组课程的学习目标、能力要求、前后衔接和认证对应关系时</x:v>
      </x:c>
      <x:c r="H7" s="17" t="str">
        <x:v>培养目标、课程定位、学生基础、课程清单、认证或学校要求</x:v>
      </x:c>
      <x:c r="I7" s="17" t="str">
        <x:v>课程目标、能力矩阵、课程地图、内容缺口和调整建议</x:v>
      </x:c>
      <x:c r="J7" s="19" t="str">
        <x:v>需要重新改造</x:v>
      </x:c>
      <x:c r="K7" s="19" t="str">
        <x:v>SB-A</x:v>
      </x:c>
      <x:c r="L7" s="17" t="str">
        <x:v>安全等级 SB-A：原包含需要删减或重写的网络、数据、自动决定或权限步骤；正式库只能收录明确列出改造要求的适配方案。</x:v>
      </x:c>
      <x:c r="M7" s="17" t="str">
        <x:v>MIT</x:v>
      </x:c>
      <x:c r="N7" s="17" t="str">
        <x:v>GitHub 固定提交版本</x:v>
      </x:c>
      <x:c r="O7" s="17" t="str">
        <x:v>AlterLab-IEU</x:v>
      </x:c>
      <x:c r="P7" s="17" t="str">
        <x:v>AlterLab-IEU/AlterLab-Academic-Skills</x:v>
      </x:c>
      <x:c r="Q7" s="19" t="str">
        <x:v>a0064fd54180541785cd1986ad8eb1689b834270</x:v>
      </x:c>
      <x:c r="R7" s="19" t="str">
        <x:v>2026-08-09</x:v>
      </x:c>
      <x:c r="S7" s="17" t="str">
        <x:v>https://github.com/AlterLab-IEU/AlterLab-Academic-Skills/blob/a0064fd54180541785cd1986ad8eb1689b834270/skills/core/alterlab-teaching-design/SKILL.md</x:v>
      </x:c>
    </x:row>
    <x:row r="8" ht="64" customHeight="1">
      <x:c r="A8" s="18" t="n">
        <x:v>4</x:v>
      </x:c>
      <x:c r="B8" s="18" t="str">
        <x:v>FD-06-0004</x:v>
      </x:c>
      <x:c r="C8" s="17" t="str">
        <x:v>Backwards Design Unit Planner</x:v>
      </x:c>
      <x:c r="D8" s="17" t="str">
        <x:v>06-01 课程体系、目标与能力设计</x:v>
      </x:c>
      <x:c r="E8" s="17" t="str">
        <x:v>这个技能主要用于课程体系、目标与能力设计。它可以帮助使用者梳理学习目标和能力要求、检查目标、活动与评价是否相互支持、编写教案和单元计划、梳理课程目标与学生能力。</x:v>
      </x:c>
      <x:c r="F8" s="17" t="str">
        <x:v>教师、专业负责人、教学管理人员</x:v>
      </x:c>
      <x:c r="G8" s="17" t="str">
        <x:v>需要规划一门课程或一组课程的学习目标、能力要求、前后衔接和认证对应关系时</x:v>
      </x:c>
      <x:c r="H8" s="17" t="str">
        <x:v>培养目标、课程定位、学生基础、课程清单、认证或学校要求</x:v>
      </x:c>
      <x:c r="I8" s="17" t="str">
        <x:v>课程目标、能力矩阵、课程地图、内容缺口和调整建议</x:v>
      </x:c>
      <x:c r="J8" s="19" t="str">
        <x:v>可直接使用</x:v>
      </x:c>
      <x:c r="K8" s="19" t="str">
        <x:v>SA</x:v>
      </x:c>
      <x:c r="L8" s="17" t="str">
        <x:v>安全等级 SA：固定版本主要由说明、清单或模板组成，静态检查未发现账号、外部写回或可执行载荷方面的阻断性问题。</x:v>
      </x:c>
      <x:c r="M8" s="17" t="str">
        <x:v>CC-BY-SA-4.0</x:v>
      </x:c>
      <x:c r="N8" s="17" t="str">
        <x:v>GitHub 固定提交版本</x:v>
      </x:c>
      <x:c r="O8" s="17" t="str">
        <x:v>GarethManning</x:v>
      </x:c>
      <x:c r="P8" s="17" t="str">
        <x:v>GarethManning/education-agent-skills</x:v>
      </x:c>
      <x:c r="Q8" s="19" t="str">
        <x:v>34702c1c1465389192e760e5faa4476d234f9122</x:v>
      </x:c>
      <x:c r="R8" s="19" t="str">
        <x:v>2026-08-09</x:v>
      </x:c>
      <x:c r="S8" s="17" t="str">
        <x:v>https://github.com/GarethManning/education-agent-skills/blob/34702c1c1465389192e760e5faa4476d234f9122/skills/curriculum-assessment/backwards-design-unit-planner/SKILL.md</x:v>
      </x:c>
    </x:row>
    <x:row r="9" ht="64" customHeight="1">
      <x:c r="A9" s="18" t="n">
        <x:v>5</x:v>
      </x:c>
      <x:c r="B9" s="18" t="str">
        <x:v>FD-06-0005</x:v>
      </x:c>
      <x:c r="C9" s="17" t="str">
        <x:v>Cognitive Tutoring Architecture Designer</x:v>
      </x:c>
      <x:c r="D9" s="17" t="str">
        <x:v>06-01 课程体系、目标与能力设计</x:v>
      </x:c>
      <x:c r="E9" s="17" t="str">
        <x:v>这个技能主要用于课程体系、目标与能力设计。它可以帮助使用者设计形成性练习和掌握度检查、按学生差异调整内容和支持、梳理课程目标与学生能力、检查课程之间的衔接。</x:v>
      </x:c>
      <x:c r="F9" s="17" t="str">
        <x:v>教师、专业负责人、教学管理人员</x:v>
      </x:c>
      <x:c r="G9" s="17" t="str">
        <x:v>需要规划一门课程或一组课程的学习目标、能力要求、前后衔接和认证对应关系时</x:v>
      </x:c>
      <x:c r="H9" s="17" t="str">
        <x:v>培养目标、课程定位、学生基础、课程清单、认证或学校要求</x:v>
      </x:c>
      <x:c r="I9" s="17" t="str">
        <x:v>课程目标、能力矩阵、课程地图、内容缺口和调整建议</x:v>
      </x:c>
      <x:c r="J9" s="19" t="str">
        <x:v>可直接使用</x:v>
      </x:c>
      <x:c r="K9" s="19" t="str">
        <x:v>SA</x:v>
      </x:c>
      <x:c r="L9" s="17" t="str">
        <x:v>安全等级 SA：固定版本主要由说明、清单或模板组成，静态检查未发现账号、外部写回或可执行载荷方面的阻断性问题。</x:v>
      </x:c>
      <x:c r="M9" s="17" t="str">
        <x:v>CC-BY-SA-4.0</x:v>
      </x:c>
      <x:c r="N9" s="17" t="str">
        <x:v>GitHub 固定提交版本</x:v>
      </x:c>
      <x:c r="O9" s="17" t="str">
        <x:v>GarethManning</x:v>
      </x:c>
      <x:c r="P9" s="17" t="str">
        <x:v>GarethManning/education-agent-skills</x:v>
      </x:c>
      <x:c r="Q9" s="19" t="str">
        <x:v>34702c1c1465389192e760e5faa4476d234f9122</x:v>
      </x:c>
      <x:c r="R9" s="19" t="str">
        <x:v>2026-08-09</x:v>
      </x:c>
      <x:c r="S9" s="17" t="str">
        <x:v>https://github.com/GarethManning/education-agent-skills/blob/34702c1c1465389192e760e5faa4476d234f9122/skills/ai-learning-science/cognitive-tutoring-architecture-designer/SKILL.md</x:v>
      </x:c>
    </x:row>
    <x:row r="10" ht="64" customHeight="1">
      <x:c r="A10" s="18" t="n">
        <x:v>6</x:v>
      </x:c>
      <x:c r="B10" s="18" t="str">
        <x:v>FD-06-0006</x:v>
      </x:c>
      <x:c r="C10" s="17" t="str">
        <x:v>Competency Framework Translator</x:v>
      </x:c>
      <x:c r="D10" s="17" t="str">
        <x:v>06-01 课程体系、目标与能力设计</x:v>
      </x:c>
      <x:c r="E10" s="17" t="str">
        <x:v>这个技能主要用于课程体系、目标与能力设计。它可以帮助使用者梳理学习目标和能力要求、梳理课程目标与学生能力、检查课程之间的衔接、把课程要求与认证标准对应起来。</x:v>
      </x:c>
      <x:c r="F10" s="17" t="str">
        <x:v>教师、专业负责人、教学管理人员</x:v>
      </x:c>
      <x:c r="G10" s="17" t="str">
        <x:v>需要规划一门课程或一组课程的学习目标、能力要求、前后衔接和认证对应关系时</x:v>
      </x:c>
      <x:c r="H10" s="17" t="str">
        <x:v>培养目标、课程定位、学生基础、课程清单、认证或学校要求</x:v>
      </x:c>
      <x:c r="I10" s="17" t="str">
        <x:v>课程目标、能力矩阵、课程地图、内容缺口和调整建议</x:v>
      </x:c>
      <x:c r="J10" s="19" t="str">
        <x:v>可直接使用</x:v>
      </x:c>
      <x:c r="K10" s="19" t="str">
        <x:v>SA</x:v>
      </x:c>
      <x:c r="L10" s="17" t="str">
        <x:v>安全等级 SA：固定版本主要由说明、清单或模板组成，静态检查未发现账号、外部写回或可执行载荷方面的阻断性问题。</x:v>
      </x:c>
      <x:c r="M10" s="17" t="str">
        <x:v>CC-BY-SA-4.0</x:v>
      </x:c>
      <x:c r="N10" s="17" t="str">
        <x:v>GitHub 固定提交版本</x:v>
      </x:c>
      <x:c r="O10" s="17" t="str">
        <x:v>GarethManning</x:v>
      </x:c>
      <x:c r="P10" s="17" t="str">
        <x:v>GarethManning/education-agent-skills</x:v>
      </x:c>
      <x:c r="Q10" s="19" t="str">
        <x:v>34702c1c1465389192e760e5faa4476d234f9122</x:v>
      </x:c>
      <x:c r="R10" s="19" t="str">
        <x:v>2026-08-09</x:v>
      </x:c>
      <x:c r="S10" s="17" t="str">
        <x:v>https://github.com/GarethManning/education-agent-skills/blob/34702c1c1465389192e760e5faa4476d234f9122/skills/professional-learning/competency-framework-translator/SKILL.md</x:v>
      </x:c>
    </x:row>
    <x:row r="11" ht="64" customHeight="1">
      <x:c r="A11" s="18" t="n">
        <x:v>7</x:v>
      </x:c>
      <x:c r="B11" s="18" t="str">
        <x:v>FD-06-0007</x:v>
      </x:c>
      <x:c r="C11" s="17" t="str">
        <x:v>Competency Unpacker</x:v>
      </x:c>
      <x:c r="D11" s="17" t="str">
        <x:v>06-01 课程体系、目标与能力设计</x:v>
      </x:c>
      <x:c r="E11" s="17" t="str">
        <x:v>这个技能主要用于课程体系、目标与能力设计。它可以帮助使用者梳理学习目标和能力要求、设计或使用评分量规、梳理课程目标与学生能力、检查课程之间的衔接。</x:v>
      </x:c>
      <x:c r="F11" s="17" t="str">
        <x:v>教师、专业负责人、教学管理人员</x:v>
      </x:c>
      <x:c r="G11" s="17" t="str">
        <x:v>需要规划一门课程或一组课程的学习目标、能力要求、前后衔接和认证对应关系时</x:v>
      </x:c>
      <x:c r="H11" s="17" t="str">
        <x:v>培养目标、课程定位、学生基础、课程清单、认证或学校要求</x:v>
      </x:c>
      <x:c r="I11" s="17" t="str">
        <x:v>课程目标、能力矩阵、课程地图、内容缺口和调整建议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CC-BY-SA-4.0</x:v>
      </x:c>
      <x:c r="N11" s="17" t="str">
        <x:v>GitHub 固定提交版本</x:v>
      </x:c>
      <x:c r="O11" s="17" t="str">
        <x:v>GarethManning</x:v>
      </x:c>
      <x:c r="P11" s="17" t="str">
        <x:v>GarethManning/education-agent-skills</x:v>
      </x:c>
      <x:c r="Q11" s="19" t="str">
        <x:v>34702c1c1465389192e760e5faa4476d234f9122</x:v>
      </x:c>
      <x:c r="R11" s="19" t="str">
        <x:v>2026-08-09</x:v>
      </x:c>
      <x:c r="S11" s="17" t="str">
        <x:v>https://github.com/GarethManning/education-agent-skills/blob/34702c1c1465389192e760e5faa4476d234f9122/skills/curriculum-assessment/competency-unpacker/SKILL.md</x:v>
      </x:c>
    </x:row>
    <x:row r="12" ht="64" customHeight="1">
      <x:c r="A12" s="18" t="n">
        <x:v>8</x:v>
      </x:c>
      <x:c r="B12" s="18" t="str">
        <x:v>FD-06-0008</x:v>
      </x:c>
      <x:c r="C12" s="17" t="str">
        <x:v>course-builder</x:v>
      </x:c>
      <x:c r="D12" s="17" t="str">
        <x:v>06-01 课程体系、目标与能力设计</x:v>
      </x:c>
      <x:c r="E12" s="17" t="str">
        <x:v>这个技能主要用于课程体系、目标与能力设计。它可以帮助使用者编写或检查教学大纲、编写教案和单元计划、设计数字课程或教学视频脚本、设计实验或实践步骤。</x:v>
      </x:c>
      <x:c r="F12" s="17" t="str">
        <x:v>教师、专业负责人、教学管理人员</x:v>
      </x:c>
      <x:c r="G12" s="17" t="str">
        <x:v>需要规划一门课程或一组课程的学习目标、能力要求、前后衔接和认证对应关系时</x:v>
      </x:c>
      <x:c r="H12" s="17" t="str">
        <x:v>培养目标、课程定位、学生基础、课程清单、认证或学校要求</x:v>
      </x:c>
      <x:c r="I12" s="17" t="str">
        <x:v>课程目标、能力矩阵、课程地图、内容缺口和调整建议</x:v>
      </x:c>
      <x:c r="J12" s="19" t="str">
        <x:v>需要重新改造</x:v>
      </x:c>
      <x:c r="K12" s="19" t="str">
        <x:v>SB-A</x:v>
      </x:c>
      <x:c r="L12" s="17" t="str">
        <x:v>安全等级 SB-A：原包含需要删减或重写的网络、数据、自动决定或权限步骤；正式库只能收录明确列出改造要求的适配方案。</x:v>
      </x:c>
      <x:c r="M12" s="17" t="str">
        <x:v>Apache-2.0</x:v>
      </x:c>
      <x:c r="N12" s="17" t="str">
        <x:v>GitHub 固定提交版本</x:v>
      </x:c>
      <x:c r="O12" s="17" t="str">
        <x:v>revfactory</x:v>
      </x:c>
      <x:c r="P12" s="17" t="str">
        <x:v>revfactory/harness-100</x:v>
      </x:c>
      <x:c r="Q12" s="19" t="str">
        <x:v>8e8d35c6a19166614d1af1df85512266d51121ae</x:v>
      </x:c>
      <x:c r="R12" s="19" t="str">
        <x:v>2026-08-09</x:v>
      </x:c>
      <x:c r="S12" s="17" t="str">
        <x:v>https://github.com/revfactory/harness-100/blob/8e8d35c6a19166614d1af1df85512266d51121ae/en/08-course-builder/.claude/skills/course-builder/skill.md</x:v>
      </x:c>
    </x:row>
    <x:row r="13" ht="64" customHeight="1">
      <x:c r="A13" s="18" t="n">
        <x:v>9</x:v>
      </x:c>
      <x:c r="B13" s="18" t="str">
        <x:v>FD-06-0009</x:v>
      </x:c>
      <x:c r="C13" s="17" t="str">
        <x:v>course-description-analyzer</x:v>
      </x:c>
      <x:c r="D13" s="17" t="str">
        <x:v>06-01 课程体系、目标与能力设计</x:v>
      </x:c>
      <x:c r="E13" s="17" t="str">
        <x:v>这个技能主要用于课程体系、目标与能力设计。它可以帮助使用者梳理学习目标和能力要求、整理讲义、教材或学习指南、检查评价标准的清楚程度和一致性、检查课程或教学材料质量。</x:v>
      </x:c>
      <x:c r="F13" s="17" t="str">
        <x:v>教师、专业负责人、教学管理人员</x:v>
      </x:c>
      <x:c r="G13" s="17" t="str">
        <x:v>需要规划一门课程或一组课程的学习目标、能力要求、前后衔接和认证对应关系时</x:v>
      </x:c>
      <x:c r="H13" s="17" t="str">
        <x:v>培养目标、课程定位、学生基础、课程清单、认证或学校要求</x:v>
      </x:c>
      <x:c r="I13" s="17" t="str">
        <x:v>课程目标、能力矩阵、课程地图、内容缺口和调整建议</x:v>
      </x:c>
      <x:c r="J13" s="19" t="str">
        <x:v>需要少量调整</x:v>
      </x:c>
      <x:c r="K13" s="19" t="str">
        <x:v>SB</x:v>
      </x:c>
      <x:c r="L13" s="17" t="str">
        <x:v>安全等级 SB：固定版本存在可识别的脚本、联网或受控文件操作；在限定目录、最小权限和人工确认下可作为候选采用。</x:v>
      </x:c>
      <x:c r="M13" s="17" t="str">
        <x:v>MIT</x:v>
      </x:c>
      <x:c r="N13" s="17" t="str">
        <x:v>GitHub 固定提交版本</x:v>
      </x:c>
      <x:c r="O13" s="17" t="str">
        <x:v>vishalsachdev</x:v>
      </x:c>
      <x:c r="P13" s="17" t="str">
        <x:v>vishalsachdev/claude-skills</x:v>
      </x:c>
      <x:c r="Q13" s="19" t="str">
        <x:v>92a6344c3ae6f724bc8279cafb2e2f9edd9827c9</x:v>
      </x:c>
      <x:c r="R13" s="19" t="str">
        <x:v>2026-08-09</x:v>
      </x:c>
      <x:c r="S13" s="17" t="str">
        <x:v>https://github.com/vishalsachdev/claude-skills/blob/92a6344c3ae6f724bc8279cafb2e2f9edd9827c9/course-description-analyzer/SKILL.md</x:v>
      </x:c>
    </x:row>
    <x:row r="14" ht="64" customHeight="1">
      <x:c r="A14" s="18" t="n">
        <x:v>10</x:v>
      </x:c>
      <x:c r="B14" s="18" t="str">
        <x:v>FD-06-0010</x:v>
      </x:c>
      <x:c r="C14" s="17" t="str">
        <x:v>course-designer</x:v>
      </x:c>
      <x:c r="D14" s="17" t="str">
        <x:v>06-01 课程体系、目标与能力设计</x:v>
      </x:c>
      <x:c r="E14" s="17" t="str">
        <x:v>这个技能主要用于课程体系、目标与能力设计。它可以帮助使用者梳理学习目标和能力要求、检查目标、活动与评价是否相互支持、编写或检查教学大纲、安排周次、课时和教学进度。</x:v>
      </x:c>
      <x:c r="F14" s="17" t="str">
        <x:v>教师、专业负责人、教学管理人员</x:v>
      </x:c>
      <x:c r="G14" s="17" t="str">
        <x:v>需要规划一门课程或一组课程的学习目标、能力要求、前后衔接和认证对应关系时</x:v>
      </x:c>
      <x:c r="H14" s="17" t="str">
        <x:v>培养目标、课程定位、学生基础、课程清单、认证或学校要求</x:v>
      </x:c>
      <x:c r="I14" s="17" t="str">
        <x:v>课程目标、能力矩阵、课程地图、内容缺口和调整建议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MIT</x:v>
      </x:c>
      <x:c r="N14" s="17" t="str">
        <x:v>GitHub 固定提交版本</x:v>
      </x:c>
      <x:c r="O14" s="17" t="str">
        <x:v>YujxZJCN</x:v>
      </x:c>
      <x:c r="P14" s="17" t="str">
        <x:v>YujxZJCN/teaching-skills</x:v>
      </x:c>
      <x:c r="Q14" s="19" t="str">
        <x:v>50258caf73fb0495adc725864fdf278a3072716c</x:v>
      </x:c>
      <x:c r="R14" s="19" t="str">
        <x:v>2026-08-09</x:v>
      </x:c>
      <x:c r="S14" s="17" t="str">
        <x:v>https://github.com/YujxZJCN/teaching-skills/blob/50258caf73fb0495adc725864fdf278a3072716c/course-designer/SKILL.md</x:v>
      </x:c>
    </x:row>
    <x:row r="15" ht="64" customHeight="1">
      <x:c r="A15" s="18" t="n">
        <x:v>11</x:v>
      </x:c>
      <x:c r="B15" s="18" t="str">
        <x:v>FD-06-0011</x:v>
      </x:c>
      <x:c r="C15" s="17" t="str">
        <x:v>course-overview</x:v>
      </x:c>
      <x:c r="D15" s="17" t="str">
        <x:v>06-01 课程体系、目标与能力设计</x:v>
      </x:c>
      <x:c r="E15" s="17" t="str">
        <x:v>这个技能主要用于课程体系、目标与能力设计。它可以帮助使用者梳理课程目标与学生能力、检查课程之间的衔接、把课程要求与认证标准对应起来。</x:v>
      </x:c>
      <x:c r="F15" s="17" t="str">
        <x:v>教师、专业负责人、教学管理人员</x:v>
      </x:c>
      <x:c r="G15" s="17" t="str">
        <x:v>需要规划一门课程或一组课程的学习目标、能力要求、前后衔接和认证对应关系时</x:v>
      </x:c>
      <x:c r="H15" s="17" t="str">
        <x:v>培养目标、课程定位、学生基础、课程清单、认证或学校要求</x:v>
      </x:c>
      <x:c r="I15" s="17" t="str">
        <x:v>课程目标、能力矩阵、课程地图、内容缺口和调整建议</x:v>
      </x:c>
      <x:c r="J15" s="19" t="str">
        <x:v>可直接使用</x:v>
      </x:c>
      <x:c r="K15" s="19" t="str">
        <x:v>SA</x:v>
      </x:c>
      <x:c r="L15" s="17" t="str">
        <x:v>安全等级 SA：固定版本主要由说明、清单或模板组成，静态检查未发现账号、外部写回或可执行载荷方面的阻断性问题。</x:v>
      </x:c>
      <x:c r="M15" s="17" t="str">
        <x:v>MIT</x:v>
      </x:c>
      <x:c r="N15" s="17" t="str">
        <x:v>GitHub 固定提交版本</x:v>
      </x:c>
      <x:c r="O15" s="17" t="str">
        <x:v>francojc</x:v>
      </x:c>
      <x:c r="P15" s="17" t="str">
        <x:v>francojc/dauber</x:v>
      </x:c>
      <x:c r="Q15" s="19" t="str">
        <x:v>cc790c4041f97cf8bb986a0f34e142083c477366</x:v>
      </x:c>
      <x:c r="R15" s="19" t="str">
        <x:v>2026-08-09</x:v>
      </x:c>
      <x:c r="S15" s="17" t="str">
        <x:v>https://github.com/francojc/dauber/blob/cc790c4041f97cf8bb986a0f34e142083c477366/.pi/skills/course-overview/SKILL.md</x:v>
      </x:c>
    </x:row>
    <x:row r="16" ht="64" customHeight="1">
      <x:c r="A16" s="18" t="n">
        <x:v>12</x:v>
      </x:c>
      <x:c r="B16" s="18" t="str">
        <x:v>FD-06-0012</x:v>
      </x:c>
      <x:c r="C16" s="17" t="str">
        <x:v>course-setup</x:v>
      </x:c>
      <x:c r="D16" s="17" t="str">
        <x:v>06-01 课程体系、目标与能力设计</x:v>
      </x:c>
      <x:c r="E16" s="17" t="str">
        <x:v>这个技能主要用于课程体系、目标与能力设计。它可以帮助使用者梳理课程目标与学生能力、检查课程之间的衔接、把课程要求与认证标准对应起来。</x:v>
      </x:c>
      <x:c r="F16" s="17" t="str">
        <x:v>教师、专业负责人、教学管理人员</x:v>
      </x:c>
      <x:c r="G16" s="17" t="str">
        <x:v>需要规划一门课程或一组课程的学习目标、能力要求、前后衔接和认证对应关系时</x:v>
      </x:c>
      <x:c r="H16" s="17" t="str">
        <x:v>培养目标、课程定位、学生基础、课程清单、认证或学校要求</x:v>
      </x:c>
      <x:c r="I16" s="17" t="str">
        <x:v>课程目标、能力矩阵、课程地图、内容缺口和调整建议</x:v>
      </x:c>
      <x:c r="J16" s="19" t="str">
        <x:v>需要重新改造</x:v>
      </x:c>
      <x:c r="K16" s="19" t="str">
        <x:v>SB-A</x:v>
      </x:c>
      <x:c r="L16" s="17" t="str">
        <x:v>安全等级 SB-A：原包含需要删减或重写的网络、数据、自动决定或权限步骤；正式库只能收录明确列出改造要求的适配方案。</x:v>
      </x:c>
      <x:c r="M16" s="17" t="str">
        <x:v>MIT</x:v>
      </x:c>
      <x:c r="N16" s="17" t="str">
        <x:v>GitHub 固定提交版本</x:v>
      </x:c>
      <x:c r="O16" s="17" t="str">
        <x:v>francojc</x:v>
      </x:c>
      <x:c r="P16" s="17" t="str">
        <x:v>francojc/dauber</x:v>
      </x:c>
      <x:c r="Q16" s="19" t="str">
        <x:v>cc790c4041f97cf8bb986a0f34e142083c477366</x:v>
      </x:c>
      <x:c r="R16" s="19" t="str">
        <x:v>2026-08-09</x:v>
      </x:c>
      <x:c r="S16" s="17" t="str">
        <x:v>https://github.com/francojc/dauber/blob/cc790c4041f97cf8bb986a0f34e142083c477366/.pi/skills/course-setup/SKILL.md</x:v>
      </x:c>
    </x:row>
    <x:row r="17" ht="64" customHeight="1">
      <x:c r="A17" s="18" t="n">
        <x:v>13</x:v>
      </x:c>
      <x:c r="B17" s="18" t="str">
        <x:v>FD-06-0013</x:v>
      </x:c>
      <x:c r="C17" s="17" t="str">
        <x:v>Coverage Audit</x:v>
      </x:c>
      <x:c r="D17" s="17" t="str">
        <x:v>06-01 课程体系、目标与能力设计</x:v>
      </x:c>
      <x:c r="E17" s="17" t="str">
        <x:v>这个技能主要用于课程体系、目标与能力设计。它可以帮助使用者对应认证标准和学习成果要求、发现内容覆盖不足和重复、检查课程或教学材料质量、梳理课程目标与学生能力。</x:v>
      </x:c>
      <x:c r="F17" s="17" t="str">
        <x:v>教师、专业负责人、教学管理人员</x:v>
      </x:c>
      <x:c r="G17" s="17" t="str">
        <x:v>需要规划一门课程或一组课程的学习目标、能力要求、前后衔接和认证对应关系时</x:v>
      </x:c>
      <x:c r="H17" s="17" t="str">
        <x:v>培养目标、课程定位、学生基础、课程清单、认证或学校要求</x:v>
      </x:c>
      <x:c r="I17" s="17" t="str">
        <x:v>课程目标、能力矩阵、课程地图、内容缺口和调整建议</x:v>
      </x:c>
      <x:c r="J17" s="19" t="str">
        <x:v>可直接使用</x:v>
      </x:c>
      <x:c r="K17" s="19" t="str">
        <x:v>SA</x:v>
      </x:c>
      <x:c r="L17" s="17" t="str">
        <x:v>安全等级 SA：固定版本主要由说明、清单或模板组成，静态检查未发现账号、外部写回或可执行载荷方面的阻断性问题。</x:v>
      </x:c>
      <x:c r="M17" s="17" t="str">
        <x:v>CC-BY-SA-4.0</x:v>
      </x:c>
      <x:c r="N17" s="17" t="str">
        <x:v>GitHub 固定提交版本</x:v>
      </x:c>
      <x:c r="O17" s="17" t="str">
        <x:v>GarethManning</x:v>
      </x:c>
      <x:c r="P17" s="17" t="str">
        <x:v>GarethManning/education-agent-skills</x:v>
      </x:c>
      <x:c r="Q17" s="19" t="str">
        <x:v>34702c1c1465389192e760e5faa4476d234f9122</x:v>
      </x:c>
      <x:c r="R17" s="19" t="str">
        <x:v>2026-08-09</x:v>
      </x:c>
      <x:c r="S17" s="17" t="str">
        <x:v>https://github.com/GarethManning/education-agent-skills/blob/34702c1c1465389192e760e5faa4476d234f9122/skills/curriculum-alignment/coverage-audit/SKILL.md</x:v>
      </x:c>
    </x:row>
    <x:row r="18" ht="64" customHeight="1">
      <x:c r="A18" s="18" t="n">
        <x:v>14</x:v>
      </x:c>
      <x:c r="B18" s="18" t="str">
        <x:v>FD-06-0014</x:v>
      </x:c>
      <x:c r="C18" s="17" t="str">
        <x:v>Curriculum Crosswalk</x:v>
      </x:c>
      <x:c r="D18" s="17" t="str">
        <x:v>06-01 课程体系、目标与能力设计</x:v>
      </x:c>
      <x:c r="E18" s="17" t="str">
        <x:v>这个技能主要用于课程体系、目标与能力设计。它可以帮助使用者发现内容覆盖不足和重复、检查格式、引文和参考文献、梳理课程目标与学生能力、检查课程之间的衔接。</x:v>
      </x:c>
      <x:c r="F18" s="17" t="str">
        <x:v>教师、专业负责人、教学管理人员</x:v>
      </x:c>
      <x:c r="G18" s="17" t="str">
        <x:v>需要规划一门课程或一组课程的学习目标、能力要求、前后衔接和认证对应关系时</x:v>
      </x:c>
      <x:c r="H18" s="17" t="str">
        <x:v>培养目标、课程定位、学生基础、课程清单、认证或学校要求</x:v>
      </x:c>
      <x:c r="I18" s="17" t="str">
        <x:v>课程目标、能力矩阵、课程地图、内容缺口和调整建议</x:v>
      </x:c>
      <x:c r="J18" s="19" t="str">
        <x:v>可直接使用</x:v>
      </x:c>
      <x:c r="K18" s="19" t="str">
        <x:v>SA</x:v>
      </x:c>
      <x:c r="L18" s="17" t="str">
        <x:v>安全等级 SA：固定版本主要由说明、清单或模板组成，静态检查未发现账号、外部写回或可执行载荷方面的阻断性问题。</x:v>
      </x:c>
      <x:c r="M18" s="17" t="str">
        <x:v>CC-BY-SA-4.0</x:v>
      </x:c>
      <x:c r="N18" s="17" t="str">
        <x:v>GitHub 固定提交版本</x:v>
      </x:c>
      <x:c r="O18" s="17" t="str">
        <x:v>GarethManning</x:v>
      </x:c>
      <x:c r="P18" s="17" t="str">
        <x:v>GarethManning/education-agent-skills</x:v>
      </x:c>
      <x:c r="Q18" s="19" t="str">
        <x:v>34702c1c1465389192e760e5faa4476d234f9122</x:v>
      </x:c>
      <x:c r="R18" s="19" t="str">
        <x:v>2026-08-09</x:v>
      </x:c>
      <x:c r="S18" s="17" t="str">
        <x:v>https://github.com/GarethManning/education-agent-skills/blob/34702c1c1465389192e760e5faa4476d234f9122/skills/curriculum-alignment/curriculum-crosswalk/SKILL.md</x:v>
      </x:c>
    </x:row>
    <x:row r="19" ht="64" customHeight="1">
      <x:c r="A19" s="18" t="n">
        <x:v>15</x:v>
      </x:c>
      <x:c r="B19" s="18" t="str">
        <x:v>FD-06-0015</x:v>
      </x:c>
      <x:c r="C19" s="17" t="str">
        <x:v>Curriculum Knowledge Architecture Designer</x:v>
      </x:c>
      <x:c r="D19" s="17" t="str">
        <x:v>06-01 课程体系、目标与能力设计</x:v>
      </x:c>
      <x:c r="E19" s="17" t="str">
        <x:v>这个技能主要用于课程体系、目标与能力设计。它可以帮助使用者梳理课程目标与学生能力、检查课程之间的衔接、把课程要求与认证标准对应起来。</x:v>
      </x:c>
      <x:c r="F19" s="17" t="str">
        <x:v>教师、专业负责人、教学管理人员</x:v>
      </x:c>
      <x:c r="G19" s="17" t="str">
        <x:v>需要规划一门课程或一组课程的学习目标、能力要求、前后衔接和认证对应关系时</x:v>
      </x:c>
      <x:c r="H19" s="17" t="str">
        <x:v>培养目标、课程定位、学生基础、课程清单、认证或学校要求</x:v>
      </x:c>
      <x:c r="I19" s="17" t="str">
        <x:v>课程目标、能力矩阵、课程地图、内容缺口和调整建议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https://github.com/GarethManning/education-agent-skills/blob/34702c1c1465389192e760e5faa4476d234f9122/skills/curriculum-assessment/curriculum-knowledge-architecture-designer/SKILL.md</x:v>
      </x:c>
    </x:row>
    <x:row r="20" ht="64" customHeight="1">
      <x:c r="A20" s="18" t="n">
        <x:v>16</x:v>
      </x:c>
      <x:c r="B20" s="18" t="str">
        <x:v>FD-06-0016</x:v>
      </x:c>
      <x:c r="C20" s="17" t="str">
        <x:v>Curriculum Standard（职教课程标准）</x:v>
      </x:c>
      <x:c r="D20" s="17" t="str">
        <x:v>06-01 课程体系、目标与能力设计</x:v>
      </x:c>
      <x:c r="E20" s="17" t="str">
        <x:v>这个技能主要用于课程体系、目标与能力设计。它可以帮助使用者梳理学习目标和能力要求、梳理课程目标与学生能力、检查课程之间的衔接、把课程要求与认证标准对应起来。</x:v>
      </x:c>
      <x:c r="F20" s="17" t="str">
        <x:v>教师、专业负责人、教学管理人员</x:v>
      </x:c>
      <x:c r="G20" s="17" t="str">
        <x:v>需要规划一门课程或一组课程的学习目标、能力要求、前后衔接和认证对应关系时</x:v>
      </x:c>
      <x:c r="H20" s="17" t="str">
        <x:v>培养目标、课程定位、学生基础、课程清单、认证或学校要求</x:v>
      </x:c>
      <x:c r="I20" s="17" t="str">
        <x:v>课程目标、能力矩阵、课程地图、内容缺口和调整建议</x:v>
      </x:c>
      <x:c r="J20" s="19" t="str">
        <x:v>需要重新改造</x:v>
      </x:c>
      <x:c r="K20" s="19" t="str">
        <x:v>SB-A</x:v>
      </x:c>
      <x:c r="L20" s="17" t="str">
        <x:v>安全等级 SB-A：原包含需要删减或重写的网络、数据、自动决定或权限步骤；正式库只能收录明确列出改造要求的适配方案。</x:v>
      </x:c>
      <x:c r="M20" s="17" t="str">
        <x:v>MIT-0</x:v>
      </x:c>
      <x:c r="N20" s="17" t="str">
        <x:v>ClawHub 固定注册表版本</x:v>
      </x:c>
      <x:c r="O20" s="17" t="str">
        <x:v>flyboat403</x:v>
      </x:c>
      <x:c r="P20" s="17" t="str">
        <x:v>clawhub.ai/flyboat403/curriculum-standard</x:v>
      </x:c>
      <x:c r="Q20" s="19" t="str">
        <x:v>0.1.0</x:v>
      </x:c>
      <x:c r="R20" s="19" t="str">
        <x:v>2026-08-09</x:v>
      </x:c>
      <x:c r="S20" s="17" t="str">
        <x:v>https://clawhub.ai/flyboat403/skills/curriculum-standard?version=0.1.0</x:v>
      </x:c>
    </x:row>
    <x:row r="21" ht="64" customHeight="1">
      <x:c r="A21" s="18" t="n">
        <x:v>17</x:v>
      </x:c>
      <x:c r="B21" s="18" t="str">
        <x:v>FD-06-0017</x:v>
      </x:c>
      <x:c r="C21" s="17" t="str">
        <x:v>curriculum-designer</x:v>
      </x:c>
      <x:c r="D21" s="17" t="str">
        <x:v>06-01 课程体系、目标与能力设计</x:v>
      </x:c>
      <x:c r="E21" s="17" t="str">
        <x:v>这个技能主要用于课程体系、目标与能力设计。它可以帮助使用者梳理学习目标和能力要求、按标准检查作业并提出分数建议、按学生差异调整内容和支持、梳理课程目标与学生能力。</x:v>
      </x:c>
      <x:c r="F21" s="17" t="str">
        <x:v>教师、专业负责人、教学管理人员</x:v>
      </x:c>
      <x:c r="G21" s="17" t="str">
        <x:v>需要规划一门课程或一组课程的学习目标、能力要求、前后衔接和认证对应关系时</x:v>
      </x:c>
      <x:c r="H21" s="17" t="str">
        <x:v>培养目标、课程定位、学生基础、课程清单、认证或学校要求</x:v>
      </x:c>
      <x:c r="I21" s="17" t="str">
        <x:v>课程目标、能力矩阵、课程地图、内容缺口和调整建议</x:v>
      </x:c>
      <x:c r="J21" s="19" t="str">
        <x:v>可直接使用</x:v>
      </x:c>
      <x:c r="K21" s="19" t="str">
        <x:v>SA</x:v>
      </x:c>
      <x:c r="L21" s="17" t="str">
        <x:v>安全等级 SA：固定版本主要由说明、清单或模板组成，静态检查未发现账号、外部写回或可执行载荷方面的阻断性问题。</x:v>
      </x:c>
      <x:c r="M21" s="17" t="str">
        <x:v>Apache-2.0</x:v>
      </x:c>
      <x:c r="N21" s="17" t="str">
        <x:v>GitHub 固定提交版本</x:v>
      </x:c>
      <x:c r="O21" s="17" t="str">
        <x:v>FerroxLabs</x:v>
      </x:c>
      <x:c r="P21" s="17" t="str">
        <x:v>FerroxLabs/wayland</x:v>
      </x:c>
      <x:c r="Q21" s="19" t="str">
        <x:v>b3cd0511a4406d5e837db9d7e42e395c08387baf</x:v>
      </x:c>
      <x:c r="R21" s="19" t="str">
        <x:v>2026-08-09</x:v>
      </x:c>
      <x:c r="S21" s="17" t="str">
        <x:v>https://github.com/FerroxLabs/wayland/blob/b3cd0511a4406d5e837db9d7e42e395c08387baf/src/process/resources/skills-library/bodies/skills/education/curriculum-designer/SKILL.md</x:v>
      </x:c>
    </x:row>
    <x:row r="22" ht="64" customHeight="1">
      <x:c r="A22" s="18" t="n">
        <x:v>18</x:v>
      </x:c>
      <x:c r="B22" s="18" t="str">
        <x:v>FD-06-0018</x:v>
      </x:c>
      <x:c r="C22" s="17" t="str">
        <x:v>curriculum-gap-analysis</x:v>
      </x:c>
      <x:c r="D22" s="17" t="str">
        <x:v>06-01 课程体系、目标与能力设计</x:v>
      </x:c>
      <x:c r="E22" s="17" t="str">
        <x:v>这个技能主要用于课程体系、目标与能力设计。它可以帮助使用者发现内容覆盖不足和重复、检查目标、活动与评价是否相互支持、梳理课程目标与学生能力、检查课程之间的衔接。</x:v>
      </x:c>
      <x:c r="F22" s="17" t="str">
        <x:v>教师、专业负责人、教学管理人员</x:v>
      </x:c>
      <x:c r="G22" s="17" t="str">
        <x:v>需要规划一门课程或一组课程的学习目标、能力要求、前后衔接和认证对应关系时</x:v>
      </x:c>
      <x:c r="H22" s="17" t="str">
        <x:v>培养目标、课程定位、学生基础、课程清单、认证或学校要求</x:v>
      </x:c>
      <x:c r="I22" s="17" t="str">
        <x:v>课程目标、能力矩阵、课程地图、内容缺口和调整建议</x:v>
      </x:c>
      <x:c r="J22" s="19" t="str">
        <x:v>可直接使用</x:v>
      </x:c>
      <x:c r="K22" s="19" t="str">
        <x:v>SA</x:v>
      </x:c>
      <x:c r="L22" s="17" t="str">
        <x:v>安全等级 SA：固定版本主要由说明、清单或模板组成，静态检查未发现账号、外部写回或可执行载荷方面的阻断性问题。</x:v>
      </x:c>
      <x:c r="M22" s="17" t="str">
        <x:v>MIT</x:v>
      </x:c>
      <x:c r="N22" s="17" t="str">
        <x:v>GitHub 固定提交版本</x:v>
      </x:c>
      <x:c r="O22" s="17" t="str">
        <x:v>a5c-ai</x:v>
      </x:c>
      <x:c r="P22" s="17" t="str">
        <x:v>a5c-ai/babysitter</x:v>
      </x:c>
      <x:c r="Q22" s="19" t="str">
        <x:v>ca6e2eaa04a61c528776b1480d6a1bd3896cc028</x:v>
      </x:c>
      <x:c r="R22" s="19" t="str">
        <x:v>2026-08-09</x:v>
      </x:c>
      <x:c r="S22" s="17" t="str">
        <x:v>https://github.com/a5c-ai/babysitter/blob/ca6e2eaa04a61c528776b1480d6a1bd3896cc028/library/specializations/domains/social-sciences-humanities/education/skills/curriculum-gap-analysis/SKILL.md</x:v>
      </x:c>
    </x:row>
    <x:row r="23" ht="64" customHeight="1">
      <x:c r="A23" s="18" t="n">
        <x:v>19</x:v>
      </x:c>
      <x:c r="B23" s="18" t="str">
        <x:v>FD-06-0019</x:v>
      </x:c>
      <x:c r="C23" s="17" t="str">
        <x:v>curriculum-mapping</x:v>
      </x:c>
      <x:c r="D23" s="17" t="str">
        <x:v>06-01 课程体系、目标与能力设计</x:v>
      </x:c>
      <x:c r="E23" s="17" t="str">
        <x:v>这个技能主要用于课程体系、目标与能力设计。它可以帮助使用者制作课程或知识点对应关系、编写教案和单元计划、安排周次、课时和教学进度、梳理课程目标与学生能力。</x:v>
      </x:c>
      <x:c r="F23" s="17" t="str">
        <x:v>教师、专业负责人、教学管理人员</x:v>
      </x:c>
      <x:c r="G23" s="17" t="str">
        <x:v>需要规划一门课程或一组课程的学习目标、能力要求、前后衔接和认证对应关系时</x:v>
      </x:c>
      <x:c r="H23" s="17" t="str">
        <x:v>培养目标、课程定位、学生基础、课程清单、认证或学校要求</x:v>
      </x:c>
      <x:c r="I23" s="17" t="str">
        <x:v>课程目标、能力矩阵、课程地图、内容缺口和调整建议</x:v>
      </x:c>
      <x:c r="J23" s="19" t="str">
        <x:v>需要重新改造</x:v>
      </x:c>
      <x:c r="K23" s="19" t="str">
        <x:v>SB-A</x:v>
      </x:c>
      <x:c r="L23" s="17" t="str">
        <x:v>安全等级 SB-A：原包含需要删减或重写的网络、数据、自动决定或权限步骤；正式库只能收录明确列出改造要求的适配方案。</x:v>
      </x:c>
      <x:c r="M23" s="17" t="str">
        <x:v>Apache-2.0</x:v>
      </x:c>
      <x:c r="N23" s="17" t="str">
        <x:v>GitHub 固定提交版本</x:v>
      </x:c>
      <x:c r="O23" s="17" t="str">
        <x:v>FerroxLabs</x:v>
      </x:c>
      <x:c r="P23" s="17" t="str">
        <x:v>FerroxLabs/wayland</x:v>
      </x:c>
      <x:c r="Q23" s="19" t="str">
        <x:v>b3cd0511a4406d5e837db9d7e42e395c08387baf</x:v>
      </x:c>
      <x:c r="R23" s="19" t="str">
        <x:v>2026-08-09</x:v>
      </x:c>
      <x:c r="S23" s="17" t="str">
        <x:v>https://github.com/FerroxLabs/wayland/blob/b3cd0511a4406d5e837db9d7e42e395c08387baf/src/process/resources/skills-library/bodies/skills/education/curriculum-mapping/SKILL.md</x:v>
      </x:c>
    </x:row>
    <x:row r="24" ht="64" customHeight="1">
      <x:c r="A24" s="18" t="n">
        <x:v>20</x:v>
      </x:c>
      <x:c r="B24" s="18" t="str">
        <x:v>FD-06-0020</x:v>
      </x:c>
      <x:c r="C24" s="17" t="str">
        <x:v>Developmental Band System Designer</x:v>
      </x:c>
      <x:c r="D24" s="17" t="str">
        <x:v>06-01 课程体系、目标与能力设计</x:v>
      </x:c>
      <x:c r="E24" s="17" t="str">
        <x:v>这个技能主要用于课程体系、目标与能力设计。它可以帮助使用者制作课程或知识点对应关系、梳理学习目标和能力要求、梳理课程目标与学生能力、检查课程之间的衔接。</x:v>
      </x:c>
      <x:c r="F24" s="17" t="str">
        <x:v>教师、专业负责人、教学管理人员</x:v>
      </x:c>
      <x:c r="G24" s="17" t="str">
        <x:v>需要规划一门课程或一组课程的学习目标、能力要求、前后衔接和认证对应关系时</x:v>
      </x:c>
      <x:c r="H24" s="17" t="str">
        <x:v>培养目标、课程定位、学生基础、课程清单、认证或学校要求</x:v>
      </x:c>
      <x:c r="I24" s="17" t="str">
        <x:v>课程目标、能力矩阵、课程地图、内容缺口和调整建议</x:v>
      </x:c>
      <x:c r="J24" s="19" t="str">
        <x:v>可直接使用</x:v>
      </x:c>
      <x:c r="K24" s="19" t="str">
        <x:v>SA</x:v>
      </x:c>
      <x:c r="L24" s="17" t="str">
        <x:v>安全等级 SA：固定版本主要由说明、清单或模板组成，静态检查未发现账号、外部写回或可执行载荷方面的阻断性问题。</x:v>
      </x:c>
      <x:c r="M24" s="17" t="str">
        <x:v>CC-BY-SA-4.0</x:v>
      </x:c>
      <x:c r="N24" s="17" t="str">
        <x:v>GitHub 固定提交版本</x:v>
      </x:c>
      <x:c r="O24" s="17" t="str">
        <x:v>GarethManning</x:v>
      </x:c>
      <x:c r="P24" s="17" t="str">
        <x:v>GarethManning/education-agent-skills</x:v>
      </x:c>
      <x:c r="Q24" s="19" t="str">
        <x:v>34702c1c1465389192e760e5faa4476d234f9122</x:v>
      </x:c>
      <x:c r="R24" s="19" t="str">
        <x:v>2026-08-09</x:v>
      </x:c>
      <x:c r="S24" s="17" t="str">
        <x:v>https://github.com/GarethManning/education-agent-skills/blob/34702c1c1465389192e760e5faa4476d234f9122/skills/original-frameworks/developmental-band-system-designer/SKILL.md</x:v>
      </x:c>
    </x:row>
    <x:row r="25" ht="64" customHeight="1">
      <x:c r="A25" s="18" t="n">
        <x:v>21</x:v>
      </x:c>
      <x:c r="B25" s="18" t="str">
        <x:v>FD-06-0021</x:v>
      </x:c>
      <x:c r="C25" s="17" t="str">
        <x:v>Developmental Band Translator</x:v>
      </x:c>
      <x:c r="D25" s="17" t="str">
        <x:v>06-01 课程体系、目标与能力设计</x:v>
      </x:c>
      <x:c r="E25" s="17" t="str">
        <x:v>这个技能主要用于课程体系、目标与能力设计。它可以帮助使用者制作课程或知识点对应关系、设计实验或实践步骤、设计或使用评分量规、梳理课程目标与学生能力。</x:v>
      </x:c>
      <x:c r="F25" s="17" t="str">
        <x:v>教师、专业负责人、教学管理人员</x:v>
      </x:c>
      <x:c r="G25" s="17" t="str">
        <x:v>需要规划一门课程或一组课程的学习目标、能力要求、前后衔接和认证对应关系时</x:v>
      </x:c>
      <x:c r="H25" s="17" t="str">
        <x:v>培养目标、课程定位、学生基础、课程清单、认证或学校要求</x:v>
      </x:c>
      <x:c r="I25" s="17" t="str">
        <x:v>课程目标、能力矩阵、课程地图、内容缺口和调整建议</x:v>
      </x:c>
      <x:c r="J25" s="19" t="str">
        <x:v>可直接使用</x:v>
      </x:c>
      <x:c r="K25" s="19" t="str">
        <x:v>SA</x:v>
      </x:c>
      <x:c r="L25" s="17" t="str">
        <x:v>安全等级 SA：固定版本主要由说明、清单或模板组成，静态检查未发现账号、外部写回或可执行载荷方面的阻断性问题。</x:v>
      </x:c>
      <x:c r="M25" s="17" t="str">
        <x:v>CC-BY-SA-4.0</x:v>
      </x:c>
      <x:c r="N25" s="17" t="str">
        <x:v>GitHub 固定提交版本</x:v>
      </x:c>
      <x:c r="O25" s="17" t="str">
        <x:v>GarethManning</x:v>
      </x:c>
      <x:c r="P25" s="17" t="str">
        <x:v>GarethManning/education-agent-skills</x:v>
      </x:c>
      <x:c r="Q25" s="19" t="str">
        <x:v>34702c1c1465389192e760e5faa4476d234f9122</x:v>
      </x:c>
      <x:c r="R25" s="19" t="str">
        <x:v>2026-08-09</x:v>
      </x:c>
      <x:c r="S25" s="17" t="str">
        <x:v>https://github.com/GarethManning/education-agent-skills/blob/34702c1c1465389192e760e5faa4476d234f9122/skills/curriculum-alignment/developmental-band-translator/SKILL.md</x:v>
      </x:c>
    </x:row>
    <x:row r="26" ht="64" customHeight="1">
      <x:c r="A26" s="18" t="n">
        <x:v>22</x:v>
      </x:c>
      <x:c r="B26" s="18" t="str">
        <x:v>FD-06-0022</x:v>
      </x:c>
      <x:c r="C26" s="17" t="str">
        <x:v>Developmental Progression Synthesis</x:v>
      </x:c>
      <x:c r="D26" s="17" t="str">
        <x:v>06-01 课程体系、目标与能力设计</x:v>
      </x:c>
      <x:c r="E26" s="17" t="str">
        <x:v>这个技能主要用于课程体系、目标与能力设计。它可以帮助使用者梳理学习目标和能力要求、评阅课程论文或学位论文、梳理课程目标与学生能力、检查课程之间的衔接。</x:v>
      </x:c>
      <x:c r="F26" s="17" t="str">
        <x:v>教师、专业负责人、教学管理人员</x:v>
      </x:c>
      <x:c r="G26" s="17" t="str">
        <x:v>需要规划一门课程或一组课程的学习目标、能力要求、前后衔接和认证对应关系时</x:v>
      </x:c>
      <x:c r="H26" s="17" t="str">
        <x:v>培养目标、课程定位、学生基础、课程清单、认证或学校要求</x:v>
      </x:c>
      <x:c r="I26" s="17" t="str">
        <x:v>课程目标、能力矩阵、课程地图、内容缺口和调整建议</x:v>
      </x:c>
      <x:c r="J26" s="19" t="str">
        <x:v>可直接使用</x:v>
      </x:c>
      <x:c r="K26" s="19" t="str">
        <x:v>SA</x:v>
      </x:c>
      <x:c r="L26" s="17" t="str">
        <x:v>安全等级 SA：固定版本主要由说明、清单或模板组成，静态检查未发现账号、外部写回或可执行载荷方面的阻断性问题。</x:v>
      </x:c>
      <x:c r="M26" s="17" t="str">
        <x:v>CC-BY-SA-4.0</x:v>
      </x:c>
      <x:c r="N26" s="17" t="str">
        <x:v>GitHub 固定提交版本</x:v>
      </x:c>
      <x:c r="O26" s="17" t="str">
        <x:v>GarethManning</x:v>
      </x:c>
      <x:c r="P26" s="17" t="str">
        <x:v>GarethManning/education-agent-skills</x:v>
      </x:c>
      <x:c r="Q26" s="19" t="str">
        <x:v>34702c1c1465389192e760e5faa4476d234f9122</x:v>
      </x:c>
      <x:c r="R26" s="19" t="str">
        <x:v>2026-08-09</x:v>
      </x:c>
      <x:c r="S26" s="17" t="str">
        <x:v>https://github.com/GarethManning/education-agent-skills/blob/34702c1c1465389192e760e5faa4476d234f9122/skills/original-frameworks/developmental-progression-synthesis/SKILL.md</x:v>
      </x:c>
    </x:row>
    <x:row r="27" ht="64" customHeight="1">
      <x:c r="A27" s="18" t="n">
        <x:v>23</x:v>
      </x:c>
      <x:c r="B27" s="18" t="str">
        <x:v>FD-06-0023</x:v>
      </x:c>
      <x:c r="C27" s="17" t="str">
        <x:v>Dilemma Navigation for Education Design</x:v>
      </x:c>
      <x:c r="D27" s="17" t="str">
        <x:v>06-01 课程体系、目标与能力设计</x:v>
      </x:c>
      <x:c r="E27" s="17" t="str">
        <x:v>这个技能主要用于课程体系、目标与能力设计。它可以帮助使用者梳理课程目标与学生能力、检查课程之间的衔接、把课程要求与认证标准对应起来。</x:v>
      </x:c>
      <x:c r="F27" s="17" t="str">
        <x:v>教师、专业负责人、教学管理人员</x:v>
      </x:c>
      <x:c r="G27" s="17" t="str">
        <x:v>需要规划一门课程或一组课程的学习目标、能力要求、前后衔接和认证对应关系时</x:v>
      </x:c>
      <x:c r="H27" s="17" t="str">
        <x:v>培养目标、课程定位、学生基础、课程清单、认证或学校要求</x:v>
      </x:c>
      <x:c r="I27" s="17" t="str">
        <x:v>课程目标、能力矩阵、课程地图、内容缺口和调整建议</x:v>
      </x:c>
      <x:c r="J27" s="19" t="str">
        <x:v>可直接使用</x:v>
      </x:c>
      <x:c r="K27" s="19" t="str">
        <x:v>SA</x:v>
      </x:c>
      <x:c r="L27" s="17" t="str">
        <x:v>安全等级 SA：固定版本主要由说明、清单或模板组成，静态检查未发现账号、外部写回或可执行载荷方面的阻断性问题。</x:v>
      </x:c>
      <x:c r="M27" s="17" t="str">
        <x:v>CC-BY-SA-4.0</x:v>
      </x:c>
      <x:c r="N27" s="17" t="str">
        <x:v>GitHub 固定提交版本</x:v>
      </x:c>
      <x:c r="O27" s="17" t="str">
        <x:v>GarethManning</x:v>
      </x:c>
      <x:c r="P27" s="17" t="str">
        <x:v>GarethManning/education-agent-skills</x:v>
      </x:c>
      <x:c r="Q27" s="19" t="str">
        <x:v>34702c1c1465389192e760e5faa4476d234f9122</x:v>
      </x:c>
      <x:c r="R27" s="19" t="str">
        <x:v>2026-08-09</x:v>
      </x:c>
      <x:c r="S27" s="17" t="str">
        <x:v>https://github.com/GarethManning/education-agent-skills/blob/34702c1c1465389192e760e5faa4476d234f9122/skills/original-frameworks/dilemma-navigation-for-education-design/SKILL.md</x:v>
      </x:c>
    </x:row>
    <x:row r="28" ht="64" customHeight="1">
      <x:c r="A28" s="18" t="n">
        <x:v>24</x:v>
      </x:c>
      <x:c r="B28" s="18" t="str">
        <x:v>FD-06-0024</x:v>
      </x:c>
      <x:c r="C28" s="17" t="str">
        <x:v>enc1101-curriculum-designer</x:v>
      </x:c>
      <x:c r="D28" s="17" t="str">
        <x:v>06-01 课程体系、目标与能力设计</x:v>
      </x:c>
      <x:c r="E28" s="17" t="str">
        <x:v>这个技能主要用于课程体系、目标与能力设计。它可以帮助使用者编写教案和单元计划、整理讲义、教材或学习指南、设计实验或实践步骤、按标准检查作业并提出分数建议。</x:v>
      </x:c>
      <x:c r="F28" s="17" t="str">
        <x:v>教师、专业负责人、教学管理人员</x:v>
      </x:c>
      <x:c r="G28" s="17" t="str">
        <x:v>需要规划一门课程或一组课程的学习目标、能力要求、前后衔接和认证对应关系时</x:v>
      </x:c>
      <x:c r="H28" s="17" t="str">
        <x:v>培养目标、课程定位、学生基础、课程清单、认证或学校要求</x:v>
      </x:c>
      <x:c r="I28" s="17" t="str">
        <x:v>课程目标、能力矩阵、课程地图、内容缺口和调整建议</x:v>
      </x:c>
      <x:c r="J28" s="19" t="str">
        <x:v>可直接使用</x:v>
      </x:c>
      <x:c r="K28" s="19" t="str">
        <x:v>SA</x:v>
      </x:c>
      <x:c r="L28" s="17" t="str">
        <x:v>安全等级 SA：固定版本主要由说明、清单或模板组成，静态检查未发现账号、外部写回或可执行载荷方面的阻断性问题。</x:v>
      </x:c>
      <x:c r="M28" s="17" t="str">
        <x:v>MIT</x:v>
      </x:c>
      <x:c r="N28" s="17" t="str">
        <x:v>GitHub 固定提交版本</x:v>
      </x:c>
      <x:c r="O28" s="17" t="str">
        <x:v>organvm-iv-taxis</x:v>
      </x:c>
      <x:c r="P28" s="17" t="str">
        <x:v>organvm-iv-taxis/a-i--skills</x:v>
      </x:c>
      <x:c r="Q28" s="19" t="str">
        <x:v>1d929d47cf56e3c72b7b145f110188972a4c8ae3</x:v>
      </x:c>
      <x:c r="R28" s="19" t="str">
        <x:v>2026-08-09</x:v>
      </x:c>
      <x:c r="S28" s="17" t="str">
        <x:v>https://github.com/organvm-iv-taxis/a-i--skills/blob/1d929d47cf56e3c72b7b145f110188972a4c8ae3/skills/education/enc1101-curriculum-designer/SKILL.md</x:v>
      </x:c>
    </x:row>
    <x:row r="29" ht="64" customHeight="1">
      <x:c r="A29" s="18" t="n">
        <x:v>25</x:v>
      </x:c>
      <x:c r="B29" s="18" t="str">
        <x:v>FD-06-0025</x:v>
      </x:c>
      <x:c r="C29" s="17" t="str">
        <x:v>KUD Chart Author</x:v>
      </x:c>
      <x:c r="D29" s="17" t="str">
        <x:v>06-01 课程体系、目标与能力设计</x:v>
      </x:c>
      <x:c r="E29" s="17" t="str">
        <x:v>这个技能主要用于课程体系、目标与能力设计。它可以帮助使用者梳理学习目标和能力要求、设计实验或实践步骤、梳理课程目标与学生能力、检查课程之间的衔接。</x:v>
      </x:c>
      <x:c r="F29" s="17" t="str">
        <x:v>教师、专业负责人、教学管理人员</x:v>
      </x:c>
      <x:c r="G29" s="17" t="str">
        <x:v>需要规划一门课程或一组课程的学习目标、能力要求、前后衔接和认证对应关系时</x:v>
      </x:c>
      <x:c r="H29" s="17" t="str">
        <x:v>培养目标、课程定位、学生基础、课程清单、认证或学校要求</x:v>
      </x:c>
      <x:c r="I29" s="17" t="str">
        <x:v>课程目标、能力矩阵、课程地图、内容缺口和调整建议</x:v>
      </x:c>
      <x:c r="J29" s="19" t="str">
        <x:v>可直接使用</x:v>
      </x:c>
      <x:c r="K29" s="19" t="str">
        <x:v>SA</x:v>
      </x:c>
      <x:c r="L29" s="17" t="str">
        <x:v>安全等级 SA：固定版本主要由说明、清单或模板组成，静态检查未发现账号、外部写回或可执行载荷方面的阻断性问题。</x:v>
      </x:c>
      <x:c r="M29" s="17" t="str">
        <x:v>CC-BY-SA-4.0</x:v>
      </x:c>
      <x:c r="N29" s="17" t="str">
        <x:v>GitHub 固定提交版本</x:v>
      </x:c>
      <x:c r="O29" s="17" t="str">
        <x:v>GarethManning</x:v>
      </x:c>
      <x:c r="P29" s="17" t="str">
        <x:v>GarethManning/education-agent-skills</x:v>
      </x:c>
      <x:c r="Q29" s="19" t="str">
        <x:v>34702c1c1465389192e760e5faa4476d234f9122</x:v>
      </x:c>
      <x:c r="R29" s="19" t="str">
        <x:v>2026-08-09</x:v>
      </x:c>
      <x:c r="S29" s="17" t="str">
        <x:v>https://github.com/GarethManning/education-agent-skills/blob/34702c1c1465389192e760e5faa4476d234f9122/skills/curriculum-alignment/kud-chart-author/SKILL.md</x:v>
      </x:c>
    </x:row>
    <x:row r="30" ht="64" customHeight="1">
      <x:c r="A30" s="18" t="n">
        <x:v>26</x:v>
      </x:c>
      <x:c r="B30" s="18" t="str">
        <x:v>FD-06-0026</x:v>
      </x:c>
      <x:c r="C30" s="17" t="str">
        <x:v>KUD Knowledge Type Mapper</x:v>
      </x:c>
      <x:c r="D30" s="17" t="str">
        <x:v>06-01 课程体系、目标与能力设计</x:v>
      </x:c>
      <x:c r="E30" s="17" t="str">
        <x:v>这个技能主要用于课程体系、目标与能力设计。它可以帮助使用者梳理学习目标和能力要求、检查研究方法是否合适和完整、梳理课程目标与学生能力、检查课程之间的衔接。</x:v>
      </x:c>
      <x:c r="F30" s="17" t="str">
        <x:v>教师、专业负责人、教学管理人员</x:v>
      </x:c>
      <x:c r="G30" s="17" t="str">
        <x:v>需要规划一门课程或一组课程的学习目标、能力要求、前后衔接和认证对应关系时</x:v>
      </x:c>
      <x:c r="H30" s="17" t="str">
        <x:v>培养目标、课程定位、学生基础、课程清单、认证或学校要求</x:v>
      </x:c>
      <x:c r="I30" s="17" t="str">
        <x:v>课程目标、能力矩阵、课程地图、内容缺口和调整建议</x:v>
      </x:c>
      <x:c r="J30" s="19" t="str">
        <x:v>可直接使用</x:v>
      </x:c>
      <x:c r="K30" s="19" t="str">
        <x:v>SA</x:v>
      </x:c>
      <x:c r="L30" s="17" t="str">
        <x:v>安全等级 SA：固定版本主要由说明、清单或模板组成，静态检查未发现账号、外部写回或可执行载荷方面的阻断性问题。</x:v>
      </x:c>
      <x:c r="M30" s="17" t="str">
        <x:v>CC-BY-SA-4.0</x:v>
      </x:c>
      <x:c r="N30" s="17" t="str">
        <x:v>GitHub 固定提交版本</x:v>
      </x:c>
      <x:c r="O30" s="17" t="str">
        <x:v>GarethManning</x:v>
      </x:c>
      <x:c r="P30" s="17" t="str">
        <x:v>GarethManning/education-agent-skills</x:v>
      </x:c>
      <x:c r="Q30" s="19" t="str">
        <x:v>34702c1c1465389192e760e5faa4476d234f9122</x:v>
      </x:c>
      <x:c r="R30" s="19" t="str">
        <x:v>2026-08-09</x:v>
      </x:c>
      <x:c r="S30" s="17" t="str">
        <x:v>https://github.com/GarethManning/education-agent-skills/blob/34702c1c1465389192e760e5faa4476d234f9122/skills/curriculum-assessment/kud-knowledge-type-mapper/SKILL.md</x:v>
      </x:c>
    </x:row>
    <x:row r="31" ht="64" customHeight="1">
      <x:c r="A31" s="18" t="n">
        <x:v>27</x:v>
      </x:c>
      <x:c r="B31" s="18" t="str">
        <x:v>FD-06-0027</x:v>
      </x:c>
      <x:c r="C31" s="17" t="str">
        <x:v>Learning Progression Builder</x:v>
      </x:c>
      <x:c r="D31" s="17" t="str">
        <x:v>06-01 课程体系、目标与能力设计</x:v>
      </x:c>
      <x:c r="E31" s="17" t="str">
        <x:v>这个技能主要用于课程体系、目标与能力设计。它可以帮助使用者制作课程或知识点对应关系、发现内容覆盖不足和重复、设计形成性练习和掌握度检查、诊断知识薄弱点和教学问题。</x:v>
      </x:c>
      <x:c r="F31" s="17" t="str">
        <x:v>教师、专业负责人、教学管理人员</x:v>
      </x:c>
      <x:c r="G31" s="17" t="str">
        <x:v>需要规划一门课程或一组课程的学习目标、能力要求、前后衔接和认证对应关系时</x:v>
      </x:c>
      <x:c r="H31" s="17" t="str">
        <x:v>培养目标、课程定位、学生基础、课程清单、认证或学校要求</x:v>
      </x:c>
      <x:c r="I31" s="17" t="str">
        <x:v>课程目标、能力矩阵、课程地图、内容缺口和调整建议</x:v>
      </x:c>
      <x:c r="J31" s="19" t="str">
        <x:v>可直接使用</x:v>
      </x:c>
      <x:c r="K31" s="19" t="str">
        <x:v>SA</x:v>
      </x:c>
      <x:c r="L31" s="17" t="str">
        <x:v>安全等级 SA：固定版本主要由说明、清单或模板组成，静态检查未发现账号、外部写回或可执行载荷方面的阻断性问题。</x:v>
      </x:c>
      <x:c r="M31" s="17" t="str">
        <x:v>CC-BY-SA-4.0</x:v>
      </x:c>
      <x:c r="N31" s="17" t="str">
        <x:v>GitHub 固定提交版本</x:v>
      </x:c>
      <x:c r="O31" s="17" t="str">
        <x:v>GarethManning</x:v>
      </x:c>
      <x:c r="P31" s="17" t="str">
        <x:v>GarethManning/education-agent-skills</x:v>
      </x:c>
      <x:c r="Q31" s="19" t="str">
        <x:v>34702c1c1465389192e760e5faa4476d234f9122</x:v>
      </x:c>
      <x:c r="R31" s="19" t="str">
        <x:v>2026-08-09</x:v>
      </x:c>
      <x:c r="S31" s="17" t="str">
        <x:v>https://github.com/GarethManning/education-agent-skills/blob/34702c1c1465389192e760e5faa4476d234f9122/skills/curriculum-assessment/learning-progression-builder/SKILL.md</x:v>
      </x:c>
    </x:row>
    <x:row r="32" ht="64" customHeight="1">
      <x:c r="A32" s="18" t="n">
        <x:v>28</x:v>
      </x:c>
      <x:c r="B32" s="18" t="str">
        <x:v>FD-06-0028</x:v>
      </x:c>
      <x:c r="C32" s="17" t="str">
        <x:v>learning-design</x:v>
      </x:c>
      <x:c r="D32" s="17" t="str">
        <x:v>06-01 课程体系、目标与能力设计</x:v>
      </x:c>
      <x:c r="E32" s="17" t="str">
        <x:v>这个技能主要用于课程体系、目标与能力设计。它可以帮助使用者梳理学习目标和能力要求、检查目标、活动与评价是否相互支持、梳理课程目标与学生能力、检查课程之间的衔接。</x:v>
      </x:c>
      <x:c r="F32" s="17" t="str">
        <x:v>教师、专业负责人、教学管理人员</x:v>
      </x:c>
      <x:c r="G32" s="17" t="str">
        <x:v>需要规划一门课程或一组课程的学习目标、能力要求、前后衔接和认证对应关系时</x:v>
      </x:c>
      <x:c r="H32" s="17" t="str">
        <x:v>培养目标、课程定位、学生基础、课程清单、认证或学校要求</x:v>
      </x:c>
      <x:c r="I32" s="17" t="str">
        <x:v>课程目标、能力矩阵、课程地图、内容缺口和调整建议</x:v>
      </x:c>
      <x:c r="J32" s="19" t="str">
        <x:v>可直接使用</x:v>
      </x:c>
      <x:c r="K32" s="19" t="str">
        <x:v>SA</x:v>
      </x:c>
      <x:c r="L32" s="17" t="str">
        <x:v>安全等级 SA：固定版本主要由说明、清单或模板组成，静态检查未发现账号、外部写回或可执行载荷方面的阻断性问题。</x:v>
      </x:c>
      <x:c r="M32" s="17" t="str">
        <x:v>Apache-2.0</x:v>
      </x:c>
      <x:c r="N32" s="17" t="str">
        <x:v>GitHub 固定提交版本</x:v>
      </x:c>
      <x:c r="O32" s="17" t="str">
        <x:v>revfactory</x:v>
      </x:c>
      <x:c r="P32" s="17" t="str">
        <x:v>revfactory/harness-100</x:v>
      </x:c>
      <x:c r="Q32" s="19" t="str">
        <x:v>8e8d35c6a19166614d1af1df85512266d51121ae</x:v>
      </x:c>
      <x:c r="R32" s="19" t="str">
        <x:v>2026-08-09</x:v>
      </x:c>
      <x:c r="S32" s="17" t="str">
        <x:v>https://github.com/revfactory/harness-100/blob/8e8d35c6a19166614d1af1df85512266d51121ae/en/08-course-builder/.claude/skills/learning-design/skill.md</x:v>
      </x:c>
    </x:row>
    <x:row r="33" ht="64" customHeight="1">
      <x:c r="A33" s="18" t="n">
        <x:v>29</x:v>
      </x:c>
      <x:c r="B33" s="18" t="str">
        <x:v>FD-06-0029</x:v>
      </x:c>
      <x:c r="C33" s="17" t="str">
        <x:v>medical-education-designer</x:v>
      </x:c>
      <x:c r="D33" s="17" t="str">
        <x:v>06-01 课程体系、目标与能力设计</x:v>
      </x:c>
      <x:c r="E33" s="17" t="str">
        <x:v>这个技能主要用于课程体系、目标与能力设计。它可以帮助使用者梳理学习目标和能力要求、设计教学案例、设计模拟或角色扮演、按学生差异调整内容和支持。</x:v>
      </x:c>
      <x:c r="F33" s="17" t="str">
        <x:v>教师、专业负责人、教学管理人员</x:v>
      </x:c>
      <x:c r="G33" s="17" t="str">
        <x:v>需要规划一门课程或一组课程的学习目标、能力要求、前后衔接和认证对应关系时</x:v>
      </x:c>
      <x:c r="H33" s="17" t="str">
        <x:v>培养目标、课程定位、学生基础、课程清单、认证或学校要求</x:v>
      </x:c>
      <x:c r="I33" s="17" t="str">
        <x:v>课程目标、能力矩阵、课程地图、内容缺口和调整建议</x:v>
      </x:c>
      <x:c r="J33" s="19" t="str">
        <x:v>可直接使用</x:v>
      </x:c>
      <x:c r="K33" s="19" t="str">
        <x:v>SA</x:v>
      </x:c>
      <x:c r="L33" s="17" t="str">
        <x:v>安全等级 SA：固定版本主要由说明、清单或模板组成，静态检查未发现账号、外部写回或可执行载荷方面的阻断性问题。</x:v>
      </x:c>
      <x:c r="M33" s="17" t="str">
        <x:v>Apache-2.0</x:v>
      </x:c>
      <x:c r="N33" s="17" t="str">
        <x:v>GitHub 固定提交版本</x:v>
      </x:c>
      <x:c r="O33" s="17" t="str">
        <x:v>FerroxLabs</x:v>
      </x:c>
      <x:c r="P33" s="17" t="str">
        <x:v>FerroxLabs/wayland</x:v>
      </x:c>
      <x:c r="Q33" s="19" t="str">
        <x:v>b3cd0511a4406d5e837db9d7e42e395c08387baf</x:v>
      </x:c>
      <x:c r="R33" s="19" t="str">
        <x:v>2026-08-09</x:v>
      </x:c>
      <x:c r="S33" s="17" t="str">
        <x:v>https://github.com/FerroxLabs/wayland/blob/b3cd0511a4406d5e837db9d7e42e395c08387baf/src/process/resources/skills-library/bodies/skills/education/medical-education-designer/SKILL.md</x:v>
      </x:c>
    </x:row>
    <x:row r="34" ht="64" customHeight="1">
      <x:c r="A34" s="18" t="n">
        <x:v>30</x:v>
      </x:c>
      <x:c r="B34" s="18" t="str">
        <x:v>FD-06-0030</x:v>
      </x:c>
      <x:c r="C34" s="17" t="str">
        <x:v>online-course-design</x:v>
      </x:c>
      <x:c r="D34" s="17" t="str">
        <x:v>06-01 课程体系、目标与能力设计</x:v>
      </x:c>
      <x:c r="E34" s="17" t="str">
        <x:v>这个技能主要用于课程体系、目标与能力设计。它可以帮助使用者制作课程或知识点对应关系、梳理学习目标和能力要求、编写教案和单元计划、整理讲义、教材或学习指南。</x:v>
      </x:c>
      <x:c r="F34" s="17" t="str">
        <x:v>教师、专业负责人、教学管理人员</x:v>
      </x:c>
      <x:c r="G34" s="17" t="str">
        <x:v>需要规划一门课程或一组课程的学习目标、能力要求、前后衔接和认证对应关系时</x:v>
      </x:c>
      <x:c r="H34" s="17" t="str">
        <x:v>培养目标、课程定位、学生基础、课程清单、认证或学校要求</x:v>
      </x:c>
      <x:c r="I34" s="17" t="str">
        <x:v>课程目标、能力矩阵、课程地图、内容缺口和调整建议</x:v>
      </x:c>
      <x:c r="J34" s="19" t="str">
        <x:v>需要重新改造</x:v>
      </x:c>
      <x:c r="K34" s="19" t="str">
        <x:v>SB-A</x:v>
      </x:c>
      <x:c r="L34" s="17" t="str">
        <x:v>安全等级 SB-A：原包含需要删减或重写的网络、数据、自动决定或权限步骤；正式库只能收录明确列出改造要求的适配方案。</x:v>
      </x:c>
      <x:c r="M34" s="17" t="str">
        <x:v>Apache-2.0</x:v>
      </x:c>
      <x:c r="N34" s="17" t="str">
        <x:v>GitHub 固定提交版本</x:v>
      </x:c>
      <x:c r="O34" s="17" t="str">
        <x:v>FerroxLabs</x:v>
      </x:c>
      <x:c r="P34" s="17" t="str">
        <x:v>FerroxLabs/wayland</x:v>
      </x:c>
      <x:c r="Q34" s="19" t="str">
        <x:v>b3cd0511a4406d5e837db9d7e42e395c08387baf</x:v>
      </x:c>
      <x:c r="R34" s="19" t="str">
        <x:v>2026-08-09</x:v>
      </x:c>
      <x:c r="S34" s="17" t="str">
        <x:v>https://github.com/FerroxLabs/wayland/blob/b3cd0511a4406d5e837db9d7e42e395c08387baf/src/process/resources/skills-library/bodies/skills/education/online-course-design/SKILL.md</x:v>
      </x:c>
    </x:row>
    <x:row r="35" ht="64" customHeight="1">
      <x:c r="A35" s="18" t="n">
        <x:v>31</x:v>
      </x:c>
      <x:c r="B35" s="18" t="str">
        <x:v>FD-06-0031</x:v>
      </x:c>
      <x:c r="C35" s="17" t="str">
        <x:v>Place-Based Curriculum Orchestrator</x:v>
      </x:c>
      <x:c r="D35" s="17" t="str">
        <x:v>06-01 课程体系、目标与能力设计</x:v>
      </x:c>
      <x:c r="E35" s="17" t="str">
        <x:v>这个技能主要用于课程体系、目标与能力设计。它可以帮助使用者梳理课程目标与学生能力、检查课程之间的衔接、把课程要求与认证标准对应起来。</x:v>
      </x:c>
      <x:c r="F35" s="17" t="str">
        <x:v>教师、专业负责人、教学管理人员</x:v>
      </x:c>
      <x:c r="G35" s="17" t="str">
        <x:v>需要规划一门课程或一组课程的学习目标、能力要求、前后衔接和认证对应关系时</x:v>
      </x:c>
      <x:c r="H35" s="17" t="str">
        <x:v>培养目标、课程定位、学生基础、课程清单、认证或学校要求</x:v>
      </x:c>
      <x:c r="I35" s="17" t="str">
        <x:v>课程目标、能力矩阵、课程地图、内容缺口和调整建议</x:v>
      </x:c>
      <x:c r="J35" s="19" t="str">
        <x:v>可直接使用</x:v>
      </x:c>
      <x:c r="K35" s="19" t="str">
        <x:v>SA</x:v>
      </x:c>
      <x:c r="L35" s="17" t="str">
        <x:v>安全等级 SA：固定版本主要由说明、清单或模板组成，静态检查未发现账号、外部写回或可执行载荷方面的阻断性问题。</x:v>
      </x:c>
      <x:c r="M35" s="17" t="str">
        <x:v>CC-BY-SA-4.0</x:v>
      </x:c>
      <x:c r="N35" s="17" t="str">
        <x:v>GitHub 固定提交版本</x:v>
      </x:c>
      <x:c r="O35" s="17" t="str">
        <x:v>GarethManning</x:v>
      </x:c>
      <x:c r="P35" s="17" t="str">
        <x:v>GarethManning/education-agent-skills</x:v>
      </x:c>
      <x:c r="Q35" s="19" t="str">
        <x:v>34702c1c1465389192e760e5faa4476d234f9122</x:v>
      </x:c>
      <x:c r="R35" s="19" t="str">
        <x:v>2026-08-09</x:v>
      </x:c>
      <x:c r="S35" s="17" t="str">
        <x:v>https://github.com/GarethManning/education-agent-skills/blob/34702c1c1465389192e760e5faa4476d234f9122/skills/original-frameworks/place-based-curriculum-orchestrator/SKILL.md</x:v>
      </x:c>
    </x:row>
    <x:row r="36" ht="64" customHeight="1">
      <x:c r="A36" s="18" t="n">
        <x:v>32</x:v>
      </x:c>
      <x:c r="B36" s="18" t="str">
        <x:v>FD-06-0032</x:v>
      </x:c>
      <x:c r="C36" s="17" t="str">
        <x:v>Purpose-Driven Learning Target Authoring Guide</x:v>
      </x:c>
      <x:c r="D36" s="17" t="str">
        <x:v>06-01 课程体系、目标与能力设计</x:v>
      </x:c>
      <x:c r="E36" s="17" t="str">
        <x:v>这个技能主要用于课程体系、目标与能力设计。它可以帮助使用者梳理学习目标和能力要求、制作多语言或双语教学材料、梳理课程目标与学生能力、检查课程之间的衔接。</x:v>
      </x:c>
      <x:c r="F36" s="17" t="str">
        <x:v>教师、专业负责人、教学管理人员</x:v>
      </x:c>
      <x:c r="G36" s="17" t="str">
        <x:v>需要规划一门课程或一组课程的学习目标、能力要求、前后衔接和认证对应关系时</x:v>
      </x:c>
      <x:c r="H36" s="17" t="str">
        <x:v>培养目标、课程定位、学生基础、课程清单、认证或学校要求</x:v>
      </x:c>
      <x:c r="I36" s="17" t="str">
        <x:v>课程目标、能力矩阵、课程地图、内容缺口和调整建议</x:v>
      </x:c>
      <x:c r="J36" s="19" t="str">
        <x:v>可直接使用</x:v>
      </x:c>
      <x:c r="K36" s="19" t="str">
        <x:v>SA</x:v>
      </x:c>
      <x:c r="L36" s="17" t="str">
        <x:v>安全等级 SA：固定版本主要由说明、清单或模板组成，静态检查未发现账号、外部写回或可执行载荷方面的阻断性问题。</x:v>
      </x:c>
      <x:c r="M36" s="17" t="str">
        <x:v>CC-BY-SA-4.0</x:v>
      </x:c>
      <x:c r="N36" s="17" t="str">
        <x:v>GitHub 固定提交版本</x:v>
      </x:c>
      <x:c r="O36" s="17" t="str">
        <x:v>GarethManning</x:v>
      </x:c>
      <x:c r="P36" s="17" t="str">
        <x:v>GarethManning/education-agent-skills</x:v>
      </x:c>
      <x:c r="Q36" s="19" t="str">
        <x:v>34702c1c1465389192e760e5faa4476d234f9122</x:v>
      </x:c>
      <x:c r="R36" s="19" t="str">
        <x:v>2026-08-09</x:v>
      </x:c>
      <x:c r="S36" s="17" t="str">
        <x:v>https://github.com/GarethManning/education-agent-skills/blob/34702c1c1465389192e760e5faa4476d234f9122/skills/original-frameworks/learning-target-authoring-guide/SKILL.md</x:v>
      </x:c>
    </x:row>
    <x:row r="37" ht="64" customHeight="1">
      <x:c r="A37" s="18" t="n">
        <x:v>33</x:v>
      </x:c>
      <x:c r="B37" s="18" t="str">
        <x:v>FD-06-0033</x:v>
      </x:c>
      <x:c r="C37" s="17" t="str">
        <x:v>Scope and Sequence Designer</x:v>
      </x:c>
      <x:c r="D37" s="17" t="str">
        <x:v>06-01 课程体系、目标与能力设计</x:v>
      </x:c>
      <x:c r="E37" s="17" t="str">
        <x:v>这个技能主要用于课程体系、目标与能力设计。它可以帮助使用者梳理课程目标与学生能力、检查课程之间的衔接、把课程要求与认证标准对应起来。</x:v>
      </x:c>
      <x:c r="F37" s="17" t="str">
        <x:v>教师、专业负责人、教学管理人员</x:v>
      </x:c>
      <x:c r="G37" s="17" t="str">
        <x:v>需要规划一门课程或一组课程的学习目标、能力要求、前后衔接和认证对应关系时</x:v>
      </x:c>
      <x:c r="H37" s="17" t="str">
        <x:v>培养目标、课程定位、学生基础、课程清单、认证或学校要求</x:v>
      </x:c>
      <x:c r="I37" s="17" t="str">
        <x:v>课程目标、能力矩阵、课程地图、内容缺口和调整建议</x:v>
      </x:c>
      <x:c r="J37" s="19" t="str">
        <x:v>可直接使用</x:v>
      </x:c>
      <x:c r="K37" s="19" t="str">
        <x:v>SA</x:v>
      </x:c>
      <x:c r="L37" s="17" t="str">
        <x:v>安全等级 SA：固定版本主要由说明、清单或模板组成，静态检查未发现账号、外部写回或可执行载荷方面的阻断性问题。</x:v>
      </x:c>
      <x:c r="M37" s="17" t="str">
        <x:v>CC-BY-SA-4.0</x:v>
      </x:c>
      <x:c r="N37" s="17" t="str">
        <x:v>GitHub 固定提交版本</x:v>
      </x:c>
      <x:c r="O37" s="17" t="str">
        <x:v>GarethManning</x:v>
      </x:c>
      <x:c r="P37" s="17" t="str">
        <x:v>GarethManning/education-agent-skills</x:v>
      </x:c>
      <x:c r="Q37" s="19" t="str">
        <x:v>34702c1c1465389192e760e5faa4476d234f9122</x:v>
      </x:c>
      <x:c r="R37" s="19" t="str">
        <x:v>2026-08-09</x:v>
      </x:c>
      <x:c r="S37" s="17" t="str">
        <x:v>https://github.com/GarethManning/education-agent-skills/blob/34702c1c1465389192e760e5faa4476d234f9122/skills/curriculum-assessment/scope-and-sequence-designer/SKILL.md</x:v>
      </x:c>
    </x:row>
    <x:row r="38" ht="64" customHeight="1">
      <x:c r="A38" s="18" t="n">
        <x:v>34</x:v>
      </x:c>
      <x:c r="B38" s="18" t="str">
        <x:v>FD-06-0034</x:v>
      </x:c>
      <x:c r="C38" s="17" t="str">
        <x:v>teaching-pipeline</x:v>
      </x:c>
      <x:c r="D38" s="17" t="str">
        <x:v>06-01 课程体系、目标与能力设计</x:v>
      </x:c>
      <x:c r="E38" s="17" t="str">
        <x:v>这个技能主要用于课程体系、目标与能力设计。它可以帮助使用者检查目标、活动与评价是否相互支持、安排周次、课时和教学进度、检查课程或教学材料质量、支持教学反思和改进记录。</x:v>
      </x:c>
      <x:c r="F38" s="17" t="str">
        <x:v>教师、专业负责人、教学管理人员</x:v>
      </x:c>
      <x:c r="G38" s="17" t="str">
        <x:v>需要规划一门课程或一组课程的学习目标、能力要求、前后衔接和认证对应关系时</x:v>
      </x:c>
      <x:c r="H38" s="17" t="str">
        <x:v>培养目标、课程定位、学生基础、课程清单、认证或学校要求</x:v>
      </x:c>
      <x:c r="I38" s="17" t="str">
        <x:v>课程目标、能力矩阵、课程地图、内容缺口和调整建议</x:v>
      </x:c>
      <x:c r="J38" s="19" t="str">
        <x:v>可直接使用</x:v>
      </x:c>
      <x:c r="K38" s="19" t="str">
        <x:v>SA</x:v>
      </x:c>
      <x:c r="L38" s="17" t="str">
        <x:v>安全等级 SA：固定版本主要由说明、清单或模板组成，静态检查未发现账号、外部写回或可执行载荷方面的阻断性问题。</x:v>
      </x:c>
      <x:c r="M38" s="17" t="str">
        <x:v>MIT</x:v>
      </x:c>
      <x:c r="N38" s="17" t="str">
        <x:v>GitHub 固定提交版本</x:v>
      </x:c>
      <x:c r="O38" s="17" t="str">
        <x:v>YujxZJCN</x:v>
      </x:c>
      <x:c r="P38" s="17" t="str">
        <x:v>YujxZJCN/teaching-skills</x:v>
      </x:c>
      <x:c r="Q38" s="19" t="str">
        <x:v>50258caf73fb0495adc725864fdf278a3072716c</x:v>
      </x:c>
      <x:c r="R38" s="19" t="str">
        <x:v>2026-08-09</x:v>
      </x:c>
      <x:c r="S38" s="17" t="str">
        <x:v>https://github.com/YujxZJCN/teaching-skills/blob/50258caf73fb0495adc725864fdf278a3072716c/teaching-pipeline/SKILL.md</x:v>
      </x:c>
    </x:row>
    <x:row r="39" ht="64" customHeight="1">
      <x:c r="A39" s="18" t="n">
        <x:v>35</x:v>
      </x:c>
      <x:c r="B39" s="18" t="str">
        <x:v>FD-06-0035</x:v>
      </x:c>
      <x:c r="C39" s="17" t="str">
        <x:v>Wellbeing-Learning Connection Mapper</x:v>
      </x:c>
      <x:c r="D39" s="17" t="str">
        <x:v>06-01 课程体系、目标与能力设计</x:v>
      </x:c>
      <x:c r="E39" s="17" t="str">
        <x:v>这个技能主要用于课程体系、目标与能力设计。它可以帮助使用者梳理学习目标和能力要求、梳理课程目标与学生能力、检查课程之间的衔接、把课程要求与认证标准对应起来。</x:v>
      </x:c>
      <x:c r="F39" s="17" t="str">
        <x:v>教师、专业负责人、教学管理人员</x:v>
      </x:c>
      <x:c r="G39" s="17" t="str">
        <x:v>需要规划一门课程或一组课程的学习目标、能力要求、前后衔接和认证对应关系时</x:v>
      </x:c>
      <x:c r="H39" s="17" t="str">
        <x:v>培养目标、课程定位、学生基础、课程清单、认证或学校要求</x:v>
      </x:c>
      <x:c r="I39" s="17" t="str">
        <x:v>课程目标、能力矩阵、课程地图、内容缺口和调整建议</x:v>
      </x:c>
      <x:c r="J39" s="19" t="str">
        <x:v>可直接使用</x:v>
      </x:c>
      <x:c r="K39" s="19" t="str">
        <x:v>SA</x:v>
      </x:c>
      <x:c r="L39" s="17" t="str">
        <x:v>安全等级 SA：固定版本主要由说明、清单或模板组成，静态检查未发现账号、外部写回或可执行载荷方面的阻断性问题。</x:v>
      </x:c>
      <x:c r="M39" s="17" t="str">
        <x:v>CC-BY-SA-4.0</x:v>
      </x:c>
      <x:c r="N39" s="17" t="str">
        <x:v>GitHub 固定提交版本</x:v>
      </x:c>
      <x:c r="O39" s="17" t="str">
        <x:v>GarethManning</x:v>
      </x:c>
      <x:c r="P39" s="17" t="str">
        <x:v>GarethManning/education-agent-skills</x:v>
      </x:c>
      <x:c r="Q39" s="19" t="str">
        <x:v>34702c1c1465389192e760e5faa4476d234f9122</x:v>
      </x:c>
      <x:c r="R39" s="19" t="str">
        <x:v>2026-08-09</x:v>
      </x:c>
      <x:c r="S39" s="17" t="str">
        <x:v>https://github.com/GarethManning/education-agent-skills/blob/34702c1c1465389192e760e5faa4476d234f9122/skills/wellbeing-motivation-agency/wellbeing-learning-connection-mapper/SKILL.md</x:v>
      </x:c>
    </x:row>
  </x:sheetData>
  <x:mergeCells>
    <x:mergeCell ref="A1:S1"/>
    <x:mergeCell ref="A2:S2"/>
  </x:mergeCells>
  <x:conditionalFormatting sqref="K5:K39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af7f695f7345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06-01 课程体系、目标与能力设计｜分类统计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COUNTA('AI技能清单'!$B$5:$B$39)</x:f>
        <x:v>35</x:v>
      </x:c>
      <x:c r="D4" s="9" t="str">
        <x:v>06-01 课程体系、目标与能力设计</x:v>
      </x:c>
      <x:c r="E4" s="9" t="n">
        <x:f>COUNTIF('AI技能清单'!$D$5:$D$39,D4)</x:f>
        <x:v>35</x:v>
      </x:c>
      <x:c r="G4" s="9" t="str">
        <x:v>ClawHub 固定注册表版本</x:v>
      </x:c>
      <x:c r="H4" s="9" t="n">
        <x:f>COUNTIF('AI技能清单'!$N$5:$N$39,G4)</x:f>
        <x:v>1</x:v>
      </x:c>
      <x:c r="J4" s="9" t="str">
        <x:v>Apache-2.0</x:v>
      </x:c>
      <x:c r="K4" s="9" t="n">
        <x:f>COUNTIF('AI技能清单'!$M$5:$M$39,J4)</x:f>
        <x:v>6</x:v>
      </x:c>
    </x:row>
    <x:row r="5">
      <x:c r="A5" s="9" t="str">
        <x:v>安全等级 SA</x:v>
      </x:c>
      <x:c r="B5" s="9" t="n">
        <x:f>COUNTIF('AI技能清单'!$K$5:$K$39,"SA")</x:f>
        <x:v>27</x:v>
      </x:c>
      <x:c r="G5" s="9" t="str">
        <x:v>GitHub 固定提交版本</x:v>
      </x:c>
      <x:c r="H5" s="9" t="n">
        <x:f>COUNTIF('AI技能清单'!$N$5:$N$39,G5)</x:f>
        <x:v>34</x:v>
      </x:c>
      <x:c r="J5" s="9" t="str">
        <x:v>CC-BY-SA-4.0</x:v>
      </x:c>
      <x:c r="K5" s="9" t="n">
        <x:f>COUNTIF('AI技能清单'!$M$5:$M$39,J5)</x:f>
        <x:v>18</x:v>
      </x:c>
    </x:row>
    <x:row r="6">
      <x:c r="A6" s="9" t="str">
        <x:v>安全等级 SB</x:v>
      </x:c>
      <x:c r="B6" s="9" t="n">
        <x:f>COUNTIF('AI技能清单'!$K$5:$K$39,"SB")</x:f>
        <x:v>2</x:v>
      </x:c>
      <x:c r="J6" s="9" t="str">
        <x:v>MIT</x:v>
      </x:c>
      <x:c r="K6" s="9" t="n">
        <x:f>COUNTIF('AI技能清单'!$M$5:$M$39,J6)</x:f>
        <x:v>10</x:v>
      </x:c>
    </x:row>
    <x:row r="7">
      <x:c r="A7" s="9" t="str">
        <x:v>安全等级 SB-A</x:v>
      </x:c>
      <x:c r="B7" s="9" t="n">
        <x:f>COUNTIF('AI技能清单'!$K$5:$K$39,"SB-A")</x:f>
        <x:v>6</x:v>
      </x:c>
      <x:c r="J7" s="9" t="str">
        <x:v>MIT-0</x:v>
      </x:c>
      <x:c r="K7" s="9" t="n">
        <x:f>COUNTIF('AI技能清单'!$M$5:$M$39,J7)</x:f>
        <x:v>1</x:v>
      </x:c>
    </x:row>
    <x:row r="8">
      <x:c r="A8" s="9" t="str">
        <x:v>可直接使用</x:v>
      </x:c>
      <x:c r="B8" s="9" t="n">
        <x:f>COUNTIF('AI技能清单'!$J$5:$J$39,"可直接使用")</x:f>
        <x:v>27</x:v>
      </x:c>
    </x:row>
    <x:row r="9">
      <x:c r="A9" s="9" t="str">
        <x:v>需要少量调整</x:v>
      </x:c>
      <x:c r="B9" s="9" t="n">
        <x:f>COUNTIF('AI技能清单'!$J$5:$J$39,"需要少量调整")</x:f>
        <x:v>2</x:v>
      </x:c>
    </x:row>
    <x:row r="10">
      <x:c r="A10" s="9" t="str">
        <x:v>需要重新改造</x:v>
      </x:c>
      <x:c r="B10" s="9" t="n">
        <x:f>COUNTIF('AI技能清单'!$J$5:$J$39,"需要重新改造")</x:f>
        <x:v>6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06-01 课程体系、目标与能力设计｜公开来源清单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a5c-ai/babysitter</x:v>
      </x:c>
      <x:c r="B5" s="17" t="str">
        <x:v>GitHub 固定提交版本</x:v>
      </x:c>
      <x:c r="C5" s="17" t="str">
        <x:v>a5c-ai</x:v>
      </x:c>
      <x:c r="D5" s="17" t="str">
        <x:v>MIT</x:v>
      </x:c>
      <x:c r="E5" s="19" t="n">
        <x:v>1</x:v>
      </x:c>
      <x:c r="F5" s="19" t="n">
        <x:f>COUNTIF('AI技能清单'!$P$5:$P$39,A5)</x:f>
        <x:v>1</x:v>
      </x:c>
      <x:c r="G5" s="19" t="str">
        <x:v>SA</x:v>
      </x:c>
      <x:c r="H5" s="17" t="str">
        <x:v>https://github.com/a5c-ai/babysitter/blob/ca6e2eaa04a61c528776b1480d6a1bd3896cc028/library/specializations/domains/social-sciences-humanities/education/skills/curriculum-gap-analysis/SKILL.md</x:v>
      </x:c>
    </x:row>
    <x:row r="6">
      <x:c r="A6" s="17" t="str">
        <x:v>AlterLab-IEU/AlterLab-Academic-Skills</x:v>
      </x:c>
      <x:c r="B6" s="17" t="str">
        <x:v>GitHub 固定提交版本</x:v>
      </x:c>
      <x:c r="C6" s="17" t="str">
        <x:v>AlterLab-IEU</x:v>
      </x:c>
      <x:c r="D6" s="17" t="str">
        <x:v>MIT</x:v>
      </x:c>
      <x:c r="E6" s="19" t="n">
        <x:v>1</x:v>
      </x:c>
      <x:c r="F6" s="19" t="n">
        <x:f>COUNTIF('AI技能清单'!$P$5:$P$39,A6)</x:f>
        <x:v>2</x:v>
      </x:c>
      <x:c r="G6" s="19" t="str">
        <x:v>SB、SB-A</x:v>
      </x:c>
      <x:c r="H6" s="17" t="str">
        <x:v>https://github.com/AlterLab-IEU/AlterLab-Academic-Skills/blob/a0064fd54180541785cd1986ad8eb1689b834270/skills/faculty-life/alterlab-accreditation-aol/SKILL.md</x:v>
      </x:c>
    </x:row>
    <x:row r="7">
      <x:c r="A7" s="17" t="str">
        <x:v>clawhub.ai/flyboat403/curriculum-standard</x:v>
      </x:c>
      <x:c r="B7" s="17" t="str">
        <x:v>ClawHub 固定注册表版本</x:v>
      </x:c>
      <x:c r="C7" s="17" t="str">
        <x:v>flyboat403</x:v>
      </x:c>
      <x:c r="D7" s="17" t="str">
        <x:v>MIT-0</x:v>
      </x:c>
      <x:c r="E7" s="19" t="n">
        <x:v>1</x:v>
      </x:c>
      <x:c r="F7" s="19" t="n">
        <x:f>COUNTIF('AI技能清单'!$P$5:$P$39,A7)</x:f>
        <x:v>1</x:v>
      </x:c>
      <x:c r="G7" s="19" t="str">
        <x:v>SB-A</x:v>
      </x:c>
      <x:c r="H7" s="17" t="str">
        <x:v>https://clawhub.ai/flyboat403/skills/curriculum-standard?version=0.1.0</x:v>
      </x:c>
    </x:row>
    <x:row r="8">
      <x:c r="A8" s="17" t="str">
        <x:v>FerroxLabs/wayland</x:v>
      </x:c>
      <x:c r="B8" s="17" t="str">
        <x:v>GitHub 固定提交版本</x:v>
      </x:c>
      <x:c r="C8" s="17" t="str">
        <x:v>FerroxLabs</x:v>
      </x:c>
      <x:c r="D8" s="17" t="str">
        <x:v>Apache-2.0</x:v>
      </x:c>
      <x:c r="E8" s="19" t="n">
        <x:v>1</x:v>
      </x:c>
      <x:c r="F8" s="19" t="n">
        <x:f>COUNTIF('AI技能清单'!$P$5:$P$39,A8)</x:f>
        <x:v>4</x:v>
      </x:c>
      <x:c r="G8" s="19" t="str">
        <x:v>SA、SB-A</x:v>
      </x:c>
      <x:c r="H8" s="17" t="str">
        <x:v>https://github.com/FerroxLabs/wayland/blob/b3cd0511a4406d5e837db9d7e42e395c08387baf/src/process/resources/skills-library/bodies/skills/education/curriculum-designer/SKILL.md</x:v>
      </x:c>
    </x:row>
    <x:row r="9">
      <x:c r="A9" s="17" t="str">
        <x:v>francojc/dauber</x:v>
      </x:c>
      <x:c r="B9" s="17" t="str">
        <x:v>GitHub 固定提交版本</x:v>
      </x:c>
      <x:c r="C9" s="17" t="str">
        <x:v>francojc</x:v>
      </x:c>
      <x:c r="D9" s="17" t="str">
        <x:v>MIT</x:v>
      </x:c>
      <x:c r="E9" s="19" t="n">
        <x:v>1</x:v>
      </x:c>
      <x:c r="F9" s="19" t="n">
        <x:f>COUNTIF('AI技能清单'!$P$5:$P$39,A9)</x:f>
        <x:v>2</x:v>
      </x:c>
      <x:c r="G9" s="19" t="str">
        <x:v>SA、SB-A</x:v>
      </x:c>
      <x:c r="H9" s="17" t="str">
        <x:v>https://github.com/francojc/dauber/blob/cc790c4041f97cf8bb986a0f34e142083c477366/.pi/skills/course-overview/SKILL.md</x:v>
      </x:c>
    </x:row>
    <x:row r="10">
      <x:c r="A10" s="17" t="str">
        <x:v>GarethManning/education-agent-skills</x:v>
      </x:c>
      <x:c r="B10" s="17" t="str">
        <x:v>GitHub 固定提交版本</x:v>
      </x:c>
      <x:c r="C10" s="17" t="str">
        <x:v>GarethManning</x:v>
      </x:c>
      <x:c r="D10" s="17" t="str">
        <x:v>CC-BY-SA-4.0</x:v>
      </x:c>
      <x:c r="E10" s="19" t="n">
        <x:v>1</x:v>
      </x:c>
      <x:c r="F10" s="19" t="n">
        <x:f>COUNTIF('AI技能清单'!$P$5:$P$39,A10)</x:f>
        <x:v>18</x:v>
      </x:c>
      <x:c r="G10" s="19" t="str">
        <x:v>SA</x:v>
      </x:c>
      <x:c r="H10" s="17" t="str">
        <x:v>https://github.com/GarethManning/education-agent-skills/blob/34702c1c1465389192e760e5faa4476d234f9122/skills/curriculum-assessment/backwards-design-unit-planner/SKILL.md</x:v>
      </x:c>
    </x:row>
    <x:row r="11">
      <x:c r="A11" s="17" t="str">
        <x:v>organvm-iv-taxis/a-i--skills</x:v>
      </x:c>
      <x:c r="B11" s="17" t="str">
        <x:v>GitHub 固定提交版本</x:v>
      </x:c>
      <x:c r="C11" s="17" t="str">
        <x:v>organvm-iv-taxis</x:v>
      </x:c>
      <x:c r="D11" s="17" t="str">
        <x:v>MIT</x:v>
      </x:c>
      <x:c r="E11" s="19" t="n">
        <x:v>1</x:v>
      </x:c>
      <x:c r="F11" s="19" t="n">
        <x:f>COUNTIF('AI技能清单'!$P$5:$P$39,A11)</x:f>
        <x:v>1</x:v>
      </x:c>
      <x:c r="G11" s="19" t="str">
        <x:v>SA</x:v>
      </x:c>
      <x:c r="H11" s="17" t="str">
        <x:v>https://github.com/organvm-iv-taxis/a-i--skills/blob/1d929d47cf56e3c72b7b145f110188972a4c8ae3/skills/education/enc1101-curriculum-designer/SKILL.md</x:v>
      </x:c>
    </x:row>
    <x:row r="12">
      <x:c r="A12" s="17" t="str">
        <x:v>revfactory/harness-100</x:v>
      </x:c>
      <x:c r="B12" s="17" t="str">
        <x:v>GitHub 固定提交版本</x:v>
      </x:c>
      <x:c r="C12" s="17" t="str">
        <x:v>revfactory</x:v>
      </x:c>
      <x:c r="D12" s="17" t="str">
        <x:v>Apache-2.0</x:v>
      </x:c>
      <x:c r="E12" s="19" t="n">
        <x:v>1</x:v>
      </x:c>
      <x:c r="F12" s="19" t="n">
        <x:f>COUNTIF('AI技能清单'!$P$5:$P$39,A12)</x:f>
        <x:v>2</x:v>
      </x:c>
      <x:c r="G12" s="19" t="str">
        <x:v>SA、SB-A</x:v>
      </x:c>
      <x:c r="H12" s="17" t="str">
        <x:v>https://github.com/revfactory/harness-100/blob/8e8d35c6a19166614d1af1df85512266d51121ae/en/08-course-builder/.claude/skills/course-builder/skill.md</x:v>
      </x:c>
    </x:row>
    <x:row r="13">
      <x:c r="A13" s="17" t="str">
        <x:v>vishalsachdev/claude-skills</x:v>
      </x:c>
      <x:c r="B13" s="17" t="str">
        <x:v>GitHub 固定提交版本</x:v>
      </x:c>
      <x:c r="C13" s="17" t="str">
        <x:v>vishalsachdev</x:v>
      </x:c>
      <x:c r="D13" s="17" t="str">
        <x:v>MIT</x:v>
      </x:c>
      <x:c r="E13" s="19" t="n">
        <x:v>1</x:v>
      </x:c>
      <x:c r="F13" s="19" t="n">
        <x:f>COUNTIF('AI技能清单'!$P$5:$P$39,A13)</x:f>
        <x:v>1</x:v>
      </x:c>
      <x:c r="G13" s="19" t="str">
        <x:v>SB</x:v>
      </x:c>
      <x:c r="H13" s="17" t="str">
        <x:v>https://github.com/vishalsachdev/claude-skills/blob/92a6344c3ae6f724bc8279cafb2e2f9edd9827c9/course-description-analyzer/SKILL.md</x:v>
      </x:c>
    </x:row>
    <x:row r="14">
      <x:c r="A14" s="17" t="str">
        <x:v>YujxZJCN/teaching-skills</x:v>
      </x:c>
      <x:c r="B14" s="17" t="str">
        <x:v>GitHub 固定提交版本</x:v>
      </x:c>
      <x:c r="C14" s="17" t="str">
        <x:v>YujxZJCN</x:v>
      </x:c>
      <x:c r="D14" s="17" t="str">
        <x:v>MIT</x:v>
      </x:c>
      <x:c r="E14" s="19" t="n">
        <x:v>1</x:v>
      </x:c>
      <x:c r="F14" s="19" t="n">
        <x:f>COUNTIF('AI技能清单'!$P$5:$P$39,A14)</x:f>
        <x:v>3</x:v>
      </x:c>
      <x:c r="G14" s="19" t="str">
        <x:v>SA</x:v>
      </x:c>
      <x:c r="H14" s="17" t="str">
        <x:v>https://github.com/YujxZJCN/teaching-skills/blob/50258caf73fb0495adc725864fdf278a3072716c/accreditation-mapper/SKILL.md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7d2734a5b844fe9"/>
  </x:tableParts>
</x:worksheet>
</file>