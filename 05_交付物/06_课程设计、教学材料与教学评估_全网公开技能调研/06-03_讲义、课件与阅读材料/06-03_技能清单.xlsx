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fc18fc22d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f56bca419ed46d9"/>
    <x:sheet xmlns:r="http://schemas.openxmlformats.org/officeDocument/2006/relationships" name="AI技能清单" sheetId="2" r:id="Rd63aba8edd404932"/>
    <x:sheet xmlns:r="http://schemas.openxmlformats.org/officeDocument/2006/relationships" name="分类统计" sheetId="3" r:id="R54f27e671b2c4f05"/>
    <x:sheet xmlns:r="http://schemas.openxmlformats.org/officeDocument/2006/relationships" name="来源清单" sheetId="4" r:id="R359c27413669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5d37a54dd4877" /><Relationship Type="http://schemas.openxmlformats.org/officeDocument/2006/relationships/theme" Target="/xl/theme/theme1.xml" Id="R1cc6dce5e6ea4488" /><Relationship Type="http://schemas.openxmlformats.org/officeDocument/2006/relationships/sharedStrings" Target="/xl/sharedStrings.xml" Id="R2384093f4eb64968" /><Relationship Type="http://schemas.openxmlformats.org/officeDocument/2006/relationships/worksheet" Target="/xl/worksheets/sheet1.xml" Id="R1f56bca419ed46d9" /><Relationship Type="http://schemas.openxmlformats.org/officeDocument/2006/relationships/worksheet" Target="/xl/worksheets/sheet2.xml" Id="Rd63aba8edd404932" /><Relationship Type="http://schemas.openxmlformats.org/officeDocument/2006/relationships/worksheet" Target="/xl/worksheets/sheet3.xml" Id="R54f27e671b2c4f05" /><Relationship Type="http://schemas.openxmlformats.org/officeDocument/2006/relationships/worksheet" Target="/xl/worksheets/sheet4.xml" Id="R359c274136694655" /></Relationships>
</file>

<file path=xl/tables/table1.xml><?xml version="1.0" encoding="utf-8"?>
<x:table xmlns:x="http://schemas.openxmlformats.org/spreadsheetml/2006/main" id="1" name="FD06Skills0603" displayName="FD06Skills0603" ref="A4:S32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3" displayName="FD06Sources0603" ref="A4:H13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15a21f81e24a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8ba07565b2c4e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06-03 讲义、课件与阅读材料｜使用说明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28</x:v>
      </x:c>
    </x:row>
    <x:row r="7">
      <x:c r="A7" s="11" t="str">
        <x:v>收录范围</x:v>
      </x:c>
      <x:c r="B7" s="12" t="str">
        <x:v>06-03 讲义、课件与阅读材料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06-03 讲义、课件与阅读材料｜正式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28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FD-06-0055</x:v>
      </x:c>
      <x:c r="C5" s="17" t="str">
        <x:v>Argument Structure Scaffold Generator</x:v>
      </x:c>
      <x:c r="D5" s="17" t="str">
        <x:v>06-03 讲义、课件与阅读材料</x:v>
      </x:c>
      <x:c r="E5" s="17" t="str">
        <x:v>这个技能主要用于讲义、课件与阅读材料。它可以帮助使用者生成练习题或测验题、把课程内容整理成易读材料、制作讲义或课件、补充阅读与学习提示。</x:v>
      </x:c>
      <x:c r="F5" s="17" t="str">
        <x:v>教师、助教、学生</x:v>
      </x:c>
      <x:c r="G5" s="17" t="str">
        <x:v>需要制作或整理讲义、课件、学习指南、阅读清单和自学材料时</x:v>
      </x:c>
      <x:c r="H5" s="17" t="str">
        <x:v>课程主题、学习目标、已有资料、学生层次和希望采用的文件格式</x:v>
      </x:c>
      <x:c r="I5" s="17" t="str">
        <x:v>讲义提纲、课件、学习指南、阅读清单、示例和练习材料</x:v>
      </x:c>
      <x:c r="J5" s="19" t="str">
        <x:v>可直接使用</x:v>
      </x:c>
      <x:c r="K5" s="19" t="str">
        <x:v>SA</x:v>
      </x:c>
      <x:c r="L5" s="17" t="str">
        <x:v>安全等级 SA：固定版本主要由说明、清单或模板组成，静态检查未发现账号、外部写回或可执行载荷方面的阻断性问题。</x:v>
      </x:c>
      <x:c r="M5" s="17" t="str">
        <x:v>CC-BY-SA-4.0</x:v>
      </x:c>
      <x:c r="N5" s="17" t="str">
        <x:v>GitHub 固定提交版本</x:v>
      </x:c>
      <x:c r="O5" s="17" t="str">
        <x:v>GarethManning</x:v>
      </x:c>
      <x:c r="P5" s="17" t="str">
        <x:v>GarethManning/education-agent-skills</x:v>
      </x:c>
      <x:c r="Q5" s="19" t="str">
        <x:v>34702c1c1465389192e760e5faa4476d234f9122</x:v>
      </x:c>
      <x:c r="R5" s="19" t="str">
        <x:v>2026-08-09</x:v>
      </x:c>
      <x:c r="S5" s="17" t="str">
        <x:v>https://github.com/GarethManning/education-agent-skills/blob/34702c1c1465389192e760e5faa4476d234f9122/skills/literacy-critical-thinking/argument-structure-scaffold-generator/SKILL.md</x:v>
      </x:c>
    </x:row>
    <x:row r="6" ht="64" customHeight="1">
      <x:c r="A6" s="18" t="n">
        <x:v>2</x:v>
      </x:c>
      <x:c r="B6" s="18" t="str">
        <x:v>FD-06-0056</x:v>
      </x:c>
      <x:c r="C6" s="17" t="str">
        <x:v>Cognitive Load Analyser</x:v>
      </x:c>
      <x:c r="D6" s="17" t="str">
        <x:v>06-03 讲义、课件与阅读材料</x:v>
      </x:c>
      <x:c r="E6" s="17" t="str">
        <x:v>这个技能主要用于讲义、课件与阅读材料。它可以帮助使用者把课程内容整理成易读材料、制作讲义或课件、补充阅读与学习提示。</x:v>
      </x:c>
      <x:c r="F6" s="17" t="str">
        <x:v>教师、助教、学生</x:v>
      </x:c>
      <x:c r="G6" s="17" t="str">
        <x:v>需要制作或整理讲义、课件、学习指南、阅读清单和自学材料时</x:v>
      </x:c>
      <x:c r="H6" s="17" t="str">
        <x:v>课程主题、学习目标、已有资料、学生层次和希望采用的文件格式</x:v>
      </x:c>
      <x:c r="I6" s="17" t="str">
        <x:v>讲义提纲、课件、学习指南、阅读清单、示例和练习材料</x:v>
      </x:c>
      <x:c r="J6" s="19" t="str">
        <x:v>可直接使用</x:v>
      </x:c>
      <x:c r="K6" s="19" t="str">
        <x:v>SA</x:v>
      </x:c>
      <x:c r="L6" s="17" t="str">
        <x:v>安全等级 SA：固定版本主要由说明、清单或模板组成，静态检查未发现账号、外部写回或可执行载荷方面的阻断性问题。</x:v>
      </x:c>
      <x:c r="M6" s="17" t="str">
        <x:v>CC-BY-SA-4.0</x:v>
      </x:c>
      <x:c r="N6" s="17" t="str">
        <x:v>GitHub 固定提交版本</x:v>
      </x:c>
      <x:c r="O6" s="17" t="str">
        <x:v>GarethManning</x:v>
      </x:c>
      <x:c r="P6" s="17" t="str">
        <x:v>GarethManning/education-agent-skills</x:v>
      </x:c>
      <x:c r="Q6" s="19" t="str">
        <x:v>34702c1c1465389192e760e5faa4476d234f9122</x:v>
      </x:c>
      <x:c r="R6" s="19" t="str">
        <x:v>2026-08-09</x:v>
      </x:c>
      <x:c r="S6" s="17" t="str">
        <x:v>https://github.com/GarethManning/education-agent-skills/blob/34702c1c1465389192e760e5faa4476d234f9122/skills/memory-learning-science/cognitive-load-analyser/SKILL.md</x:v>
      </x:c>
    </x:row>
    <x:row r="7" ht="64" customHeight="1">
      <x:c r="A7" s="18" t="n">
        <x:v>3</x:v>
      </x:c>
      <x:c r="B7" s="18" t="str">
        <x:v>FD-06-0057</x:v>
      </x:c>
      <x:c r="C7" s="17" t="str">
        <x:v>concept-map</x:v>
      </x:c>
      <x:c r="D7" s="17" t="str">
        <x:v>06-03 讲义、课件与阅读材料</x:v>
      </x:c>
      <x:c r="E7" s="17" t="str">
        <x:v>这个技能主要用于讲义、课件与阅读材料。它可以帮助使用者准备阅读清单和阅读提示、整理讲义、教材或学习指南、按标准检查作业并提出分数建议、评阅课程论文或学位论文。</x:v>
      </x:c>
      <x:c r="F7" s="17" t="str">
        <x:v>教师、助教、学生</x:v>
      </x:c>
      <x:c r="G7" s="17" t="str">
        <x:v>需要制作或整理讲义、课件、学习指南、阅读清单和自学材料时</x:v>
      </x:c>
      <x:c r="H7" s="17" t="str">
        <x:v>课程主题、学习目标、已有资料、学生层次和希望采用的文件格式</x:v>
      </x:c>
      <x:c r="I7" s="17" t="str">
        <x:v>讲义提纲、课件、学习指南、阅读清单、示例和练习材料</x:v>
      </x:c>
      <x:c r="J7" s="19" t="str">
        <x:v>需要少量调整</x:v>
      </x:c>
      <x:c r="K7" s="19" t="str">
        <x:v>SB</x:v>
      </x:c>
      <x:c r="L7" s="17" t="str">
        <x:v>安全等级 SB：固定版本存在可识别的脚本、联网或受控文件操作；在限定目录、最小权限和人工确认下可作为候选采用。</x:v>
      </x:c>
      <x:c r="M7" s="17" t="str">
        <x:v>MIT</x:v>
      </x:c>
      <x:c r="N7" s="17" t="str">
        <x:v>GitHub 固定提交版本</x:v>
      </x:c>
      <x:c r="O7" s="17" t="str">
        <x:v>Jellypod-Inc</x:v>
      </x:c>
      <x:c r="P7" s="17" t="str">
        <x:v>Jellypod-Inc/school-skills</x:v>
      </x:c>
      <x:c r="Q7" s="19" t="str">
        <x:v>cd484795e924e454caafd13ddc25c1ec76c48718</x:v>
      </x:c>
      <x:c r="R7" s="19" t="str">
        <x:v>2026-08-09</x:v>
      </x:c>
      <x:c r="S7" s="17" t="str">
        <x:v>https://github.com/Jellypod-Inc/school-skills/blob/cd484795e924e454caafd13ddc25c1ec76c48718/skills/concept-map/SKILL.md</x:v>
      </x:c>
    </x:row>
    <x:row r="8" ht="64" customHeight="1">
      <x:c r="A8" s="18" t="n">
        <x:v>4</x:v>
      </x:c>
      <x:c r="B8" s="18" t="str">
        <x:v>FD-06-0058</x:v>
      </x:c>
      <x:c r="C8" s="17" t="str">
        <x:v>course-generator</x:v>
      </x:c>
      <x:c r="D8" s="17" t="str">
        <x:v>06-03 讲义、课件与阅读材料</x:v>
      </x:c>
      <x:c r="E8" s="17" t="str">
        <x:v>这个技能主要用于讲义、课件与阅读材料。它可以帮助使用者编写或检查教学大纲、整理讲义、教材或学习指南、设计实验或实践步骤、把课程内容整理成易读材料。</x:v>
      </x:c>
      <x:c r="F8" s="17" t="str">
        <x:v>教师、助教、学生</x:v>
      </x:c>
      <x:c r="G8" s="17" t="str">
        <x:v>需要制作或整理讲义、课件、学习指南、阅读清单和自学材料时</x:v>
      </x:c>
      <x:c r="H8" s="17" t="str">
        <x:v>课程主题、学习目标、已有资料、学生层次和希望采用的文件格式</x:v>
      </x:c>
      <x:c r="I8" s="17" t="str">
        <x:v>讲义提纲、课件、学习指南、阅读清单、示例和练习材料</x:v>
      </x:c>
      <x:c r="J8" s="19" t="str">
        <x:v>需要少量调整</x:v>
      </x:c>
      <x:c r="K8" s="19" t="str">
        <x:v>SB</x:v>
      </x:c>
      <x:c r="L8" s="17" t="str">
        <x:v>安全等级 SB：固定版本存在可识别的脚本、联网或受控文件操作；在限定目录、最小权限和人工确认下可作为候选采用。</x:v>
      </x:c>
      <x:c r="M8" s="17" t="str">
        <x:v>MIT</x:v>
      </x:c>
      <x:c r="N8" s="17" t="str">
        <x:v>GitHub 固定提交版本</x:v>
      </x:c>
      <x:c r="O8" s="17" t="str">
        <x:v>vishalsachdev</x:v>
      </x:c>
      <x:c r="P8" s="17" t="str">
        <x:v>vishalsachdev/claude-skills</x:v>
      </x:c>
      <x:c r="Q8" s="19" t="str">
        <x:v>92a6344c3ae6f724bc8279cafb2e2f9edd9827c9</x:v>
      </x:c>
      <x:c r="R8" s="19" t="str">
        <x:v>2026-08-09</x:v>
      </x:c>
      <x:c r="S8" s="17" t="str">
        <x:v>https://github.com/vishalsachdev/claude-skills/blob/92a6344c3ae6f724bc8279cafb2e2f9edd9827c9/course-generator/SKILL.md</x:v>
      </x:c>
    </x:row>
    <x:row r="9" ht="64" customHeight="1">
      <x:c r="A9" s="18" t="n">
        <x:v>5</x:v>
      </x:c>
      <x:c r="B9" s="18" t="str">
        <x:v>FD-06-0059</x:v>
      </x:c>
      <x:c r="C9" s="17" t="str">
        <x:v>course-material-creator</x:v>
      </x:c>
      <x:c r="D9" s="17" t="str">
        <x:v>06-03 讲义、课件与阅读材料</x:v>
      </x:c>
      <x:c r="E9" s="17" t="str">
        <x:v>这个技能主要用于讲义、课件与阅读材料。它可以帮助使用者梳理学习目标和能力要求、编写教案和单元计划、准备阅读清单和阅读提示、整理讲义、教材或学习指南。</x:v>
      </x:c>
      <x:c r="F9" s="17" t="str">
        <x:v>教师、助教、学生</x:v>
      </x:c>
      <x:c r="G9" s="17" t="str">
        <x:v>需要制作或整理讲义、课件、学习指南、阅读清单和自学材料时</x:v>
      </x:c>
      <x:c r="H9" s="17" t="str">
        <x:v>课程主题、学习目标、已有资料、学生层次和希望采用的文件格式</x:v>
      </x:c>
      <x:c r="I9" s="17" t="str">
        <x:v>讲义提纲、课件、学习指南、阅读清单、示例和练习材料</x:v>
      </x:c>
      <x:c r="J9" s="19" t="str">
        <x:v>需要重新改造</x:v>
      </x:c>
      <x:c r="K9" s="19" t="str">
        <x:v>SB-A</x:v>
      </x:c>
      <x:c r="L9" s="17" t="str">
        <x:v>安全等级 SB-A：原包含需要删减或重写的网络、数据、自动决定或权限步骤；正式库只能收录明确列出改造要求的适配方案。</x:v>
      </x:c>
      <x:c r="M9" s="17" t="str">
        <x:v>MIT</x:v>
      </x:c>
      <x:c r="N9" s="17" t="str">
        <x:v>GitHub 固定提交版本</x:v>
      </x:c>
      <x:c r="O9" s="17" t="str">
        <x:v>travisjneuman</x:v>
      </x:c>
      <x:c r="P9" s="17" t="str">
        <x:v>travisjneuman/.claude</x:v>
      </x:c>
      <x:c r="Q9" s="19" t="str">
        <x:v>e74cd20465be466b0f30c19da760bc986c50177f</x:v>
      </x:c>
      <x:c r="R9" s="19" t="str">
        <x:v>2026-08-09</x:v>
      </x:c>
      <x:c r="S9" s="17" t="str">
        <x:v>https://github.com/travisjneuman/.claude/blob/e74cd20465be466b0f30c19da760bc986c50177f/skills/course-material-creator/SKILL.md</x:v>
      </x:c>
    </x:row>
    <x:row r="10" ht="64" customHeight="1">
      <x:c r="A10" s="18" t="n">
        <x:v>6</x:v>
      </x:c>
      <x:c r="B10" s="18" t="str">
        <x:v>FD-06-0060</x:v>
      </x:c>
      <x:c r="C10" s="17" t="str">
        <x:v>course-publisher</x:v>
      </x:c>
      <x:c r="D10" s="17" t="str">
        <x:v>06-03 讲义、课件与阅读材料</x:v>
      </x:c>
      <x:c r="E10" s="17" t="str">
        <x:v>这个技能主要用于讲义、课件与阅读材料。它可以帮助使用者安排周次、课时和教学进度、制作或整理教学课件、把课程内容整理成易读材料、制作讲义或课件。</x:v>
      </x:c>
      <x:c r="F10" s="17" t="str">
        <x:v>教师、助教、学生</x:v>
      </x:c>
      <x:c r="G10" s="17" t="str">
        <x:v>需要制作或整理讲义、课件、学习指南、阅读清单和自学材料时</x:v>
      </x:c>
      <x:c r="H10" s="17" t="str">
        <x:v>课程主题、学习目标、已有资料、学生层次和希望采用的文件格式</x:v>
      </x:c>
      <x:c r="I10" s="17" t="str">
        <x:v>讲义提纲、课件、学习指南、阅读清单、示例和练习材料</x:v>
      </x:c>
      <x:c r="J10" s="19" t="str">
        <x:v>需要重新改造</x:v>
      </x:c>
      <x:c r="K10" s="19" t="str">
        <x:v>SB-A</x:v>
      </x:c>
      <x:c r="L10" s="17" t="str">
        <x:v>安全等级 SB-A：原包含需要删减或重写的网络、数据、自动决定或权限步骤；正式库只能收录明确列出改造要求的适配方案。</x:v>
      </x:c>
      <x:c r="M10" s="17" t="str">
        <x:v>MIT</x:v>
      </x:c>
      <x:c r="N10" s="17" t="str">
        <x:v>GitHub 固定提交版本</x:v>
      </x:c>
      <x:c r="O10" s="17" t="str">
        <x:v>YujxZJCN</x:v>
      </x:c>
      <x:c r="P10" s="17" t="str">
        <x:v>YujxZJCN/teaching-skills</x:v>
      </x:c>
      <x:c r="Q10" s="19" t="str">
        <x:v>50258caf73fb0495adc725864fdf278a3072716c</x:v>
      </x:c>
      <x:c r="R10" s="19" t="str">
        <x:v>2026-08-09</x:v>
      </x:c>
      <x:c r="S10" s="17" t="str">
        <x:v>https://github.com/YujxZJCN/teaching-skills/blob/50258caf73fb0495adc725864fdf278a3072716c/course-publisher/SKILL.md</x:v>
      </x:c>
    </x:row>
    <x:row r="11" ht="64" customHeight="1">
      <x:c r="A11" s="18" t="n">
        <x:v>7</x:v>
      </x:c>
      <x:c r="B11" s="18" t="str">
        <x:v>FD-06-0061</x:v>
      </x:c>
      <x:c r="C11" s="17" t="str">
        <x:v>deck-course-module</x:v>
      </x:c>
      <x:c r="D11" s="17" t="str">
        <x:v>06-03 讲义、课件与阅读材料</x:v>
      </x:c>
      <x:c r="E11" s="17" t="str">
        <x:v>这个技能主要用于讲义、课件与阅读材料。它可以帮助使用者制作或整理教学课件、把课程内容整理成易读材料、制作讲义或课件、补充阅读与学习提示。</x:v>
      </x:c>
      <x:c r="F11" s="17" t="str">
        <x:v>教师、助教、学生</x:v>
      </x:c>
      <x:c r="G11" s="17" t="str">
        <x:v>需要制作或整理讲义、课件、学习指南、阅读清单和自学材料时</x:v>
      </x:c>
      <x:c r="H11" s="17" t="str">
        <x:v>课程主题、学习目标、已有资料、学生层次和希望采用的文件格式</x:v>
      </x:c>
      <x:c r="I11" s="17" t="str">
        <x:v>讲义提纲、课件、学习指南、阅读清单、示例和练习材料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Apache-2.0</x:v>
      </x:c>
      <x:c r="N11" s="17" t="str">
        <x:v>GitHub 固定提交版本</x:v>
      </x:c>
      <x:c r="O11" s="17" t="str">
        <x:v>nexu-io</x:v>
      </x:c>
      <x:c r="P11" s="17" t="str">
        <x:v>nexu-io/html-anything</x:v>
      </x:c>
      <x:c r="Q11" s="19" t="str">
        <x:v>779fce327024612eba752fe42e1267a3918f7640</x:v>
      </x:c>
      <x:c r="R11" s="19" t="str">
        <x:v>2026-08-09</x:v>
      </x:c>
      <x:c r="S11" s="17" t="str">
        <x:v>https://github.com/nexu-io/html-anything/blob/779fce327024612eba752fe42e1267a3918f7640/next/src/lib/templates/skills/deck-course-module/SKILL.md</x:v>
      </x:c>
    </x:row>
    <x:row r="12" ht="64" customHeight="1">
      <x:c r="A12" s="18" t="n">
        <x:v>8</x:v>
      </x:c>
      <x:c r="B12" s="18" t="str">
        <x:v>FD-06-0062</x:v>
      </x:c>
      <x:c r="C12" s="17" t="str">
        <x:v>deck-studio</x:v>
      </x:c>
      <x:c r="D12" s="17" t="str">
        <x:v>06-03 讲义、课件与阅读材料</x:v>
      </x:c>
      <x:c r="E12" s="17" t="str">
        <x:v>这个技能主要用于讲义、课件与阅读材料。它可以帮助使用者制作或整理教学课件、整理讲义、教材或学习指南、检查并改善无障碍学习条件、把课程内容整理成易读材料。</x:v>
      </x:c>
      <x:c r="F12" s="17" t="str">
        <x:v>教师、助教、学生</x:v>
      </x:c>
      <x:c r="G12" s="17" t="str">
        <x:v>需要制作或整理讲义、课件、学习指南、阅读清单和自学材料时</x:v>
      </x:c>
      <x:c r="H12" s="17" t="str">
        <x:v>课程主题、学习目标、已有资料、学生层次和希望采用的文件格式</x:v>
      </x:c>
      <x:c r="I12" s="17" t="str">
        <x:v>讲义提纲、课件、学习指南、阅读清单、示例和练习材料</x:v>
      </x:c>
      <x:c r="J12" s="19" t="str">
        <x:v>需要重新改造</x:v>
      </x:c>
      <x:c r="K12" s="19" t="str">
        <x:v>SB-A</x:v>
      </x:c>
      <x:c r="L12" s="17" t="str">
        <x:v>安全等级 SB-A：原包含需要删减或重写的网络、数据、自动决定或权限步骤；正式库只能收录明确列出改造要求的适配方案。</x:v>
      </x:c>
      <x:c r="M12" s="17" t="str">
        <x:v>MIT</x:v>
      </x:c>
      <x:c r="N12" s="17" t="str">
        <x:v>GitHub 固定提交版本</x:v>
      </x:c>
      <x:c r="O12" s="17" t="str">
        <x:v>YujxZJCN</x:v>
      </x:c>
      <x:c r="P12" s="17" t="str">
        <x:v>YujxZJCN/teaching-skills</x:v>
      </x:c>
      <x:c r="Q12" s="19" t="str">
        <x:v>50258caf73fb0495adc725864fdf278a3072716c</x:v>
      </x:c>
      <x:c r="R12" s="19" t="str">
        <x:v>2026-08-09</x:v>
      </x:c>
      <x:c r="S12" s="17" t="str">
        <x:v>https://github.com/YujxZJCN/teaching-skills/blob/50258caf73fb0495adc725864fdf278a3072716c/deck-studio/SKILL.md</x:v>
      </x:c>
    </x:row>
    <x:row r="13" ht="64" customHeight="1">
      <x:c r="A13" s="18" t="n">
        <x:v>9</x:v>
      </x:c>
      <x:c r="B13" s="18" t="str">
        <x:v>FD-06-0063</x:v>
      </x:c>
      <x:c r="C13" s="17" t="str">
        <x:v>Digital Worked Example Sequence</x:v>
      </x:c>
      <x:c r="D13" s="17" t="str">
        <x:v>06-03 讲义、课件与阅读材料</x:v>
      </x:c>
      <x:c r="E13" s="17" t="str">
        <x:v>这个技能主要用于讲义、课件与阅读材料。它可以帮助使用者编写示例和逐步讲解、设计考试或终结性评价、把课程内容整理成易读材料、制作讲义或课件。</x:v>
      </x:c>
      <x:c r="F13" s="17" t="str">
        <x:v>教师、助教、学生</x:v>
      </x:c>
      <x:c r="G13" s="17" t="str">
        <x:v>需要制作或整理讲义、课件、学习指南、阅读清单和自学材料时</x:v>
      </x:c>
      <x:c r="H13" s="17" t="str">
        <x:v>课程主题、学习目标、已有资料、学生层次和希望采用的文件格式</x:v>
      </x:c>
      <x:c r="I13" s="17" t="str">
        <x:v>讲义提纲、课件、学习指南、阅读清单、示例和练习材料</x:v>
      </x:c>
      <x:c r="J13" s="19" t="str">
        <x:v>可直接使用</x:v>
      </x:c>
      <x:c r="K13" s="19" t="str">
        <x:v>SA</x:v>
      </x:c>
      <x:c r="L13" s="17" t="str">
        <x:v>安全等级 SA：固定版本主要由说明、清单或模板组成，静态检查未发现账号、外部写回或可执行载荷方面的阻断性问题。</x:v>
      </x:c>
      <x:c r="M13" s="17" t="str">
        <x:v>CC-BY-SA-4.0</x:v>
      </x:c>
      <x:c r="N13" s="17" t="str">
        <x:v>GitHub 固定提交版本</x:v>
      </x:c>
      <x:c r="O13" s="17" t="str">
        <x:v>GarethManning</x:v>
      </x:c>
      <x:c r="P13" s="17" t="str">
        <x:v>GarethManning/education-agent-skills</x:v>
      </x:c>
      <x:c r="Q13" s="19" t="str">
        <x:v>34702c1c1465389192e760e5faa4476d234f9122</x:v>
      </x:c>
      <x:c r="R13" s="19" t="str">
        <x:v>2026-08-09</x:v>
      </x:c>
      <x:c r="S13" s="17" t="str">
        <x:v>https://github.com/GarethManning/education-agent-skills/blob/34702c1c1465389192e760e5faa4476d234f9122/skills/ai-learning-science/digital-worked-example-sequence/SKILL.md</x:v>
      </x:c>
    </x:row>
    <x:row r="14" ht="64" customHeight="1">
      <x:c r="A14" s="18" t="n">
        <x:v>10</x:v>
      </x:c>
      <x:c r="B14" s="18" t="str">
        <x:v>FD-06-0064</x:v>
      </x:c>
      <x:c r="C14" s="17" t="str">
        <x:v>Disciplinary Writing Scaffold</x:v>
      </x:c>
      <x:c r="D14" s="17" t="str">
        <x:v>06-03 讲义、课件与阅读材料</x:v>
      </x:c>
      <x:c r="E14" s="17" t="str">
        <x:v>这个技能主要用于讲义、课件与阅读材料。它可以帮助使用者设计实验或实践步骤、按标准检查作业并提出分数建议、把课程内容整理成易读材料、制作讲义或课件。</x:v>
      </x:c>
      <x:c r="F14" s="17" t="str">
        <x:v>教师、助教、学生</x:v>
      </x:c>
      <x:c r="G14" s="17" t="str">
        <x:v>需要制作或整理讲义、课件、学习指南、阅读清单和自学材料时</x:v>
      </x:c>
      <x:c r="H14" s="17" t="str">
        <x:v>课程主题、学习目标、已有资料、学生层次和希望采用的文件格式</x:v>
      </x:c>
      <x:c r="I14" s="17" t="str">
        <x:v>讲义提纲、课件、学习指南、阅读清单、示例和练习材料</x:v>
      </x:c>
      <x:c r="J14" s="19" t="str">
        <x:v>需要少量调整</x:v>
      </x:c>
      <x:c r="K14" s="19" t="str">
        <x:v>SB</x:v>
      </x:c>
      <x:c r="L14" s="17" t="str">
        <x:v>安全等级 SB：固定版本存在可识别的脚本、联网或受控文件操作；在限定目录、最小权限和人工确认下可作为候选采用。</x:v>
      </x:c>
      <x:c r="M14" s="17" t="str">
        <x:v>CC-BY-SA-4.0</x:v>
      </x:c>
      <x:c r="N14" s="17" t="str">
        <x:v>GitHub 固定提交版本</x:v>
      </x:c>
      <x:c r="O14" s="17" t="str">
        <x:v>GarethManning</x:v>
      </x:c>
      <x:c r="P14" s="17" t="str">
        <x:v>GarethManning/education-agent-skills</x:v>
      </x:c>
      <x:c r="Q14" s="19" t="str">
        <x:v>34702c1c1465389192e760e5faa4476d234f9122</x:v>
      </x:c>
      <x:c r="R14" s="19" t="str">
        <x:v>2026-08-09</x:v>
      </x:c>
      <x:c r="S14" s="17" t="str">
        <x:v>https://github.com/GarethManning/education-agent-skills/blob/34702c1c1465389192e760e5faa4476d234f9122/skills/literacy-critical-thinking/disciplinary-writing-scaffold/SKILL.md</x:v>
      </x:c>
    </x:row>
    <x:row r="15" ht="64" customHeight="1">
      <x:c r="A15" s="18" t="n">
        <x:v>11</x:v>
      </x:c>
      <x:c r="B15" s="18" t="str">
        <x:v>FD-06-0065</x:v>
      </x:c>
      <x:c r="C15" s="17" t="str">
        <x:v>Dual Coding Designer</x:v>
      </x:c>
      <x:c r="D15" s="17" t="str">
        <x:v>06-03 讲义、课件与阅读材料</x:v>
      </x:c>
      <x:c r="E15" s="17" t="str">
        <x:v>这个技能主要用于讲义、课件与阅读材料。它可以帮助使用者制作或整理教学课件、把课程内容整理成易读材料、制作讲义或课件、补充阅读与学习提示。</x:v>
      </x:c>
      <x:c r="F15" s="17" t="str">
        <x:v>教师、助教、学生</x:v>
      </x:c>
      <x:c r="G15" s="17" t="str">
        <x:v>需要制作或整理讲义、课件、学习指南、阅读清单和自学材料时</x:v>
      </x:c>
      <x:c r="H15" s="17" t="str">
        <x:v>课程主题、学习目标、已有资料、学生层次和希望采用的文件格式</x:v>
      </x:c>
      <x:c r="I15" s="17" t="str">
        <x:v>讲义提纲、课件、学习指南、阅读清单、示例和练习材料</x:v>
      </x:c>
      <x:c r="J15" s="19" t="str">
        <x:v>需要少量调整</x:v>
      </x:c>
      <x:c r="K15" s="19" t="str">
        <x:v>SB</x:v>
      </x:c>
      <x:c r="L15" s="17" t="str">
        <x:v>安全等级 SB：固定版本存在可识别的脚本、联网或受控文件操作；在限定目录、最小权限和人工确认下可作为候选采用。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https://github.com/GarethManning/education-agent-skills/blob/34702c1c1465389192e760e5faa4476d234f9122/skills/memory-learning-science/dual-coding-designer/SKILL.md</x:v>
      </x:c>
    </x:row>
    <x:row r="16" ht="64" customHeight="1">
      <x:c r="A16" s="18" t="n">
        <x:v>12</x:v>
      </x:c>
      <x:c r="B16" s="18" t="str">
        <x:v>FD-06-0066</x:v>
      </x:c>
      <x:c r="C16" s="17" t="str">
        <x:v>educational-content-creator</x:v>
      </x:c>
      <x:c r="D16" s="17" t="str">
        <x:v>06-03 讲义、课件与阅读材料</x:v>
      </x:c>
      <x:c r="E16" s="17" t="str">
        <x:v>这个技能主要用于讲义、课件与阅读材料。它可以帮助使用者设计数字课程或教学视频脚本、生成练习题或测验题、按学生差异调整内容和支持、把课程内容整理成易读材料。</x:v>
      </x:c>
      <x:c r="F16" s="17" t="str">
        <x:v>教师、助教、学生</x:v>
      </x:c>
      <x:c r="G16" s="17" t="str">
        <x:v>需要制作或整理讲义、课件、学习指南、阅读清单和自学材料时</x:v>
      </x:c>
      <x:c r="H16" s="17" t="str">
        <x:v>课程主题、学习目标、已有资料、学生层次和希望采用的文件格式</x:v>
      </x:c>
      <x:c r="I16" s="17" t="str">
        <x:v>讲义提纲、课件、学习指南、阅读清单、示例和练习材料</x:v>
      </x:c>
      <x:c r="J16" s="19" t="str">
        <x:v>可直接使用</x:v>
      </x:c>
      <x:c r="K16" s="19" t="str">
        <x:v>SA</x:v>
      </x:c>
      <x:c r="L16" s="17" t="str">
        <x:v>安全等级 SA：固定版本主要由说明、清单或模板组成，静态检查未发现账号、外部写回或可执行载荷方面的阻断性问题。</x:v>
      </x:c>
      <x:c r="M16" s="17" t="str">
        <x:v>Apache-2.0</x:v>
      </x:c>
      <x:c r="N16" s="17" t="str">
        <x:v>GitHub 固定提交版本</x:v>
      </x:c>
      <x:c r="O16" s="17" t="str">
        <x:v>FerroxLabs</x:v>
      </x:c>
      <x:c r="P16" s="17" t="str">
        <x:v>FerroxLabs/wayland</x:v>
      </x:c>
      <x:c r="Q16" s="19" t="str">
        <x:v>b3cd0511a4406d5e837db9d7e42e395c08387baf</x:v>
      </x:c>
      <x:c r="R16" s="19" t="str">
        <x:v>2026-08-09</x:v>
      </x:c>
      <x:c r="S16" s="17" t="str">
        <x:v>https://github.com/FerroxLabs/wayland/blob/b3cd0511a4406d5e837db9d7e42e395c08387baf/src/process/resources/skills-library/bodies/skills/education/educational-content-creator/SKILL.md</x:v>
      </x:c>
    </x:row>
    <x:row r="17" ht="64" customHeight="1">
      <x:c r="A17" s="18" t="n">
        <x:v>13</x:v>
      </x:c>
      <x:c r="B17" s="18" t="str">
        <x:v>FD-06-0067</x:v>
      </x:c>
      <x:c r="C17" s="17" t="str">
        <x:v>Elaborative Interrogation Prompt Generator</x:v>
      </x:c>
      <x:c r="D17" s="17" t="str">
        <x:v>06-03 讲义、课件与阅读材料</x:v>
      </x:c>
      <x:c r="E17" s="17" t="str">
        <x:v>这个技能主要用于讲义、课件与阅读材料。它可以帮助使用者设计实验或实践步骤、生成练习题或测验题、把课程内容整理成易读材料、制作讲义或课件。</x:v>
      </x:c>
      <x:c r="F17" s="17" t="str">
        <x:v>教师、助教、学生</x:v>
      </x:c>
      <x:c r="G17" s="17" t="str">
        <x:v>需要制作或整理讲义、课件、学习指南、阅读清单和自学材料时</x:v>
      </x:c>
      <x:c r="H17" s="17" t="str">
        <x:v>课程主题、学习目标、已有资料、学生层次和希望采用的文件格式</x:v>
      </x:c>
      <x:c r="I17" s="17" t="str">
        <x:v>讲义提纲、课件、学习指南、阅读清单、示例和练习材料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CC-BY-SA-4.0</x:v>
      </x:c>
      <x:c r="N17" s="17" t="str">
        <x:v>GitHub 固定提交版本</x:v>
      </x:c>
      <x:c r="O17" s="17" t="str">
        <x:v>GarethManning</x:v>
      </x:c>
      <x:c r="P17" s="17" t="str">
        <x:v>GarethManning/education-agent-skills</x:v>
      </x:c>
      <x:c r="Q17" s="19" t="str">
        <x:v>34702c1c1465389192e760e5faa4476d234f9122</x:v>
      </x:c>
      <x:c r="R17" s="19" t="str">
        <x:v>2026-08-09</x:v>
      </x:c>
      <x:c r="S17" s="17" t="str">
        <x:v>https://github.com/GarethManning/education-agent-skills/blob/34702c1c1465389192e760e5faa4476d234f9122/skills/memory-learning-science/elaborative-interrogation-generator/SKILL.md</x:v>
      </x:c>
    </x:row>
    <x:row r="18" ht="64" customHeight="1">
      <x:c r="A18" s="18" t="n">
        <x:v>14</x:v>
      </x:c>
      <x:c r="B18" s="18" t="str">
        <x:v>FD-06-0068</x:v>
      </x:c>
      <x:c r="C18" s="17" t="str">
        <x:v>elearning-storyboarding</x:v>
      </x:c>
      <x:c r="D18" s="17" t="str">
        <x:v>06-03 讲义、课件与阅读材料</x:v>
      </x:c>
      <x:c r="E18" s="17" t="str">
        <x:v>这个技能主要用于讲义、课件与阅读材料。它可以帮助使用者设计数字课程或教学视频脚本、把课程内容整理成易读材料、制作讲义或课件、补充阅读与学习提示。</x:v>
      </x:c>
      <x:c r="F18" s="17" t="str">
        <x:v>教师、助教、学生</x:v>
      </x:c>
      <x:c r="G18" s="17" t="str">
        <x:v>需要制作或整理讲义、课件、学习指南、阅读清单和自学材料时</x:v>
      </x:c>
      <x:c r="H18" s="17" t="str">
        <x:v>课程主题、学习目标、已有资料、学生层次和希望采用的文件格式</x:v>
      </x:c>
      <x:c r="I18" s="17" t="str">
        <x:v>讲义提纲、课件、学习指南、阅读清单、示例和练习材料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MIT</x:v>
      </x:c>
      <x:c r="N18" s="17" t="str">
        <x:v>GitHub 固定提交版本</x:v>
      </x:c>
      <x:c r="O18" s="17" t="str">
        <x:v>a5c-ai</x:v>
      </x:c>
      <x:c r="P18" s="17" t="str">
        <x:v>a5c-ai/babysitter</x:v>
      </x:c>
      <x:c r="Q18" s="19" t="str">
        <x:v>ca6e2eaa04a61c528776b1480d6a1bd3896cc028</x:v>
      </x:c>
      <x:c r="R18" s="19" t="str">
        <x:v>2026-08-09</x:v>
      </x:c>
      <x:c r="S18" s="17" t="str">
        <x:v>https://github.com/a5c-ai/babysitter/blob/ca6e2eaa04a61c528776b1480d6a1bd3896cc028/library/specializations/domains/social-sciences-humanities/education/skills/elearning-storyboarding/SKILL.md</x:v>
      </x:c>
    </x:row>
    <x:row r="19" ht="64" customHeight="1">
      <x:c r="A19" s="18" t="n">
        <x:v>15</x:v>
      </x:c>
      <x:c r="B19" s="18" t="str">
        <x:v>FD-06-0069</x:v>
      </x:c>
      <x:c r="C19" s="17" t="str">
        <x:v>Erroneous Example Designer</x:v>
      </x:c>
      <x:c r="D19" s="17" t="str">
        <x:v>06-03 讲义、课件与阅读材料</x:v>
      </x:c>
      <x:c r="E19" s="17" t="str">
        <x:v>这个技能主要用于讲义、课件与阅读材料。它可以帮助使用者编写示例和逐步讲解、设计考试或终结性评价、把课程内容整理成易读材料、制作讲义或课件。</x:v>
      </x:c>
      <x:c r="F19" s="17" t="str">
        <x:v>教师、助教、学生</x:v>
      </x:c>
      <x:c r="G19" s="17" t="str">
        <x:v>需要制作或整理讲义、课件、学习指南、阅读清单和自学材料时</x:v>
      </x:c>
      <x:c r="H19" s="17" t="str">
        <x:v>课程主题、学习目标、已有资料、学生层次和希望采用的文件格式</x:v>
      </x:c>
      <x:c r="I19" s="17" t="str">
        <x:v>讲义提纲、课件、学习指南、阅读清单、示例和练习材料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https://github.com/GarethManning/education-agent-skills/blob/34702c1c1465389192e760e5faa4476d234f9122/skills/ai-learning-science/erroneous-example-designer/SKILL.md</x:v>
      </x:c>
    </x:row>
    <x:row r="20" ht="64" customHeight="1">
      <x:c r="A20" s="18" t="n">
        <x:v>16</x:v>
      </x:c>
      <x:c r="B20" s="18" t="str">
        <x:v>FD-06-0070</x:v>
      </x:c>
      <x:c r="C20" s="17" t="str">
        <x:v>Historical Document Set Curator</x:v>
      </x:c>
      <x:c r="D20" s="17" t="str">
        <x:v>06-03 讲义、课件与阅读材料</x:v>
      </x:c>
      <x:c r="E20" s="17" t="str">
        <x:v>这个技能主要用于讲义、课件与阅读材料。它可以帮助使用者生成练习题或测验题、把课程内容整理成易读材料、制作讲义或课件、补充阅读与学习提示。</x:v>
      </x:c>
      <x:c r="F20" s="17" t="str">
        <x:v>教师、助教、学生</x:v>
      </x:c>
      <x:c r="G20" s="17" t="str">
        <x:v>需要制作或整理讲义、课件、学习指南、阅读清单和自学材料时</x:v>
      </x:c>
      <x:c r="H20" s="17" t="str">
        <x:v>课程主题、学习目标、已有资料、学生层次和希望采用的文件格式</x:v>
      </x:c>
      <x:c r="I20" s="17" t="str">
        <x:v>讲义提纲、课件、学习指南、阅读清单、示例和练习材料</x:v>
      </x:c>
      <x:c r="J20" s="19" t="str">
        <x:v>可直接使用</x:v>
      </x:c>
      <x:c r="K20" s="19" t="str">
        <x:v>SA</x:v>
      </x:c>
      <x:c r="L20" s="17" t="str">
        <x:v>安全等级 SA：固定版本主要由说明、清单或模板组成，静态检查未发现账号、外部写回或可执行载荷方面的阻断性问题。</x:v>
      </x:c>
      <x:c r="M20" s="17" t="str">
        <x:v>CC-BY-SA-4.0</x:v>
      </x:c>
      <x:c r="N20" s="17" t="str">
        <x:v>GitHub 固定提交版本</x:v>
      </x:c>
      <x:c r="O20" s="17" t="str">
        <x:v>GarethManning</x:v>
      </x:c>
      <x:c r="P20" s="17" t="str">
        <x:v>GarethManning/education-agent-skills</x:v>
      </x:c>
      <x:c r="Q20" s="19" t="str">
        <x:v>34702c1c1465389192e760e5faa4476d234f9122</x:v>
      </x:c>
      <x:c r="R20" s="19" t="str">
        <x:v>2026-08-09</x:v>
      </x:c>
      <x:c r="S20" s="17" t="str">
        <x:v>https://github.com/GarethManning/education-agent-skills/blob/34702c1c1465389192e760e5faa4476d234f9122/skills/historical-thinking/historical-document-set-curator/SKILL.md</x:v>
      </x:c>
    </x:row>
    <x:row r="21" ht="64" customHeight="1">
      <x:c r="A21" s="18" t="n">
        <x:v>17</x:v>
      </x:c>
      <x:c r="B21" s="18" t="str">
        <x:v>FD-06-0071</x:v>
      </x:c>
      <x:c r="C21" s="17" t="str">
        <x:v>Historical Source Adapter</x:v>
      </x:c>
      <x:c r="D21" s="17" t="str">
        <x:v>06-03 讲义、课件与阅读材料</x:v>
      </x:c>
      <x:c r="E21" s="17" t="str">
        <x:v>这个技能主要用于讲义、课件与阅读材料。它可以帮助使用者准备阅读清单和阅读提示、把课程内容整理成易读材料、制作讲义或课件、补充阅读与学习提示。</x:v>
      </x:c>
      <x:c r="F21" s="17" t="str">
        <x:v>教师、助教、学生</x:v>
      </x:c>
      <x:c r="G21" s="17" t="str">
        <x:v>需要制作或整理讲义、课件、学习指南、阅读清单和自学材料时</x:v>
      </x:c>
      <x:c r="H21" s="17" t="str">
        <x:v>课程主题、学习目标、已有资料、学生层次和希望采用的文件格式</x:v>
      </x:c>
      <x:c r="I21" s="17" t="str">
        <x:v>讲义提纲、课件、学习指南、阅读清单、示例和练习材料</x:v>
      </x:c>
      <x:c r="J21" s="19" t="str">
        <x:v>可直接使用</x:v>
      </x:c>
      <x:c r="K21" s="19" t="str">
        <x:v>SA</x:v>
      </x:c>
      <x:c r="L21" s="17" t="str">
        <x:v>安全等级 SA：固定版本主要由说明、清单或模板组成，静态检查未发现账号、外部写回或可执行载荷方面的阻断性问题。</x:v>
      </x:c>
      <x:c r="M21" s="17" t="str">
        <x:v>CC-BY-SA-4.0</x:v>
      </x:c>
      <x:c r="N21" s="17" t="str">
        <x:v>GitHub 固定提交版本</x:v>
      </x:c>
      <x:c r="O21" s="17" t="str">
        <x:v>GarethManning</x:v>
      </x:c>
      <x:c r="P21" s="17" t="str">
        <x:v>GarethManning/education-agent-skills</x:v>
      </x:c>
      <x:c r="Q21" s="19" t="str">
        <x:v>34702c1c1465389192e760e5faa4476d234f9122</x:v>
      </x:c>
      <x:c r="R21" s="19" t="str">
        <x:v>2026-08-09</x:v>
      </x:c>
      <x:c r="S21" s="17" t="str">
        <x:v>https://github.com/GarethManning/education-agent-skills/blob/34702c1c1465389192e760e5faa4476d234f9122/skills/historical-thinking/historical-source-adapter/SKILL.md</x:v>
      </x:c>
    </x:row>
    <x:row r="22" ht="64" customHeight="1">
      <x:c r="A22" s="18" t="n">
        <x:v>18</x:v>
      </x:c>
      <x:c r="B22" s="18" t="str">
        <x:v>FD-06-0072</x:v>
      </x:c>
      <x:c r="C22" s="17" t="str">
        <x:v>Historical Thinking Strategy Modelling Guide</x:v>
      </x:c>
      <x:c r="D22" s="17" t="str">
        <x:v>06-03 讲义、课件与阅读材料</x:v>
      </x:c>
      <x:c r="E22" s="17" t="str">
        <x:v>这个技能主要用于讲义、课件与阅读材料。它可以帮助使用者把课程内容整理成易读材料、制作讲义或课件、补充阅读与学习提示。</x:v>
      </x:c>
      <x:c r="F22" s="17" t="str">
        <x:v>教师、助教、学生</x:v>
      </x:c>
      <x:c r="G22" s="17" t="str">
        <x:v>需要制作或整理讲义、课件、学习指南、阅读清单和自学材料时</x:v>
      </x:c>
      <x:c r="H22" s="17" t="str">
        <x:v>课程主题、学习目标、已有资料、学生层次和希望采用的文件格式</x:v>
      </x:c>
      <x:c r="I22" s="17" t="str">
        <x:v>讲义提纲、课件、学习指南、阅读清单、示例和练习材料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CC-BY-SA-4.0</x:v>
      </x:c>
      <x:c r="N22" s="17" t="str">
        <x:v>GitHub 固定提交版本</x:v>
      </x:c>
      <x:c r="O22" s="17" t="str">
        <x:v>GarethManning</x:v>
      </x:c>
      <x:c r="P22" s="17" t="str">
        <x:v>GarethManning/education-agent-skills</x:v>
      </x:c>
      <x:c r="Q22" s="19" t="str">
        <x:v>34702c1c1465389192e760e5faa4476d234f9122</x:v>
      </x:c>
      <x:c r="R22" s="19" t="str">
        <x:v>2026-08-09</x:v>
      </x:c>
      <x:c r="S22" s="17" t="str">
        <x:v>https://github.com/GarethManning/education-agent-skills/blob/34702c1c1465389192e760e5faa4476d234f9122/skills/historical-thinking/historical-thinking-strategy-modelling-guide/SKILL.md</x:v>
      </x:c>
    </x:row>
    <x:row r="23" ht="64" customHeight="1">
      <x:c r="A23" s="18" t="n">
        <x:v>19</x:v>
      </x:c>
      <x:c r="B23" s="18" t="str">
        <x:v>FD-06-0073</x:v>
      </x:c>
      <x:c r="C23" s="17" t="str">
        <x:v>lecture-to-study-guide</x:v>
      </x:c>
      <x:c r="D23" s="17" t="str">
        <x:v>06-03 讲义、课件与阅读材料</x:v>
      </x:c>
      <x:c r="E23" s="17" t="str">
        <x:v>这个技能主要用于讲义、课件与阅读材料。它可以帮助使用者制作或整理教学课件、整理讲义、教材或学习指南、编写示例和逐步讲解、生成练习题或测验题。</x:v>
      </x:c>
      <x:c r="F23" s="17" t="str">
        <x:v>教师、助教、学生</x:v>
      </x:c>
      <x:c r="G23" s="17" t="str">
        <x:v>需要制作或整理讲义、课件、学习指南、阅读清单和自学材料时</x:v>
      </x:c>
      <x:c r="H23" s="17" t="str">
        <x:v>课程主题、学习目标、已有资料、学生层次和希望采用的文件格式</x:v>
      </x:c>
      <x:c r="I23" s="17" t="str">
        <x:v>讲义提纲、课件、学习指南、阅读清单、示例和练习材料</x:v>
      </x:c>
      <x:c r="J23" s="19" t="str">
        <x:v>需要少量调整</x:v>
      </x:c>
      <x:c r="K23" s="19" t="str">
        <x:v>SB</x:v>
      </x:c>
      <x:c r="L23" s="17" t="str">
        <x:v>安全等级 SB：固定版本存在可识别的脚本、联网或受控文件操作；在限定目录、最小权限和人工确认下可作为候选采用。</x:v>
      </x:c>
      <x:c r="M23" s="17" t="str">
        <x:v>MIT</x:v>
      </x:c>
      <x:c r="N23" s="17" t="str">
        <x:v>GitHub 固定提交版本</x:v>
      </x:c>
      <x:c r="O23" s="17" t="str">
        <x:v>Jellypod-Inc</x:v>
      </x:c>
      <x:c r="P23" s="17" t="str">
        <x:v>Jellypod-Inc/school-skills</x:v>
      </x:c>
      <x:c r="Q23" s="19" t="str">
        <x:v>cd484795e924e454caafd13ddc25c1ec76c48718</x:v>
      </x:c>
      <x:c r="R23" s="19" t="str">
        <x:v>2026-08-09</x:v>
      </x:c>
      <x:c r="S23" s="17" t="str">
        <x:v>https://github.com/Jellypod-Inc/school-skills/blob/cd484795e924e454caafd13ddc25c1ec76c48718/skills/lecture-to-study-guide/SKILL.md</x:v>
      </x:c>
    </x:row>
    <x:row r="24" ht="64" customHeight="1">
      <x:c r="A24" s="18" t="n">
        <x:v>20</x:v>
      </x:c>
      <x:c r="B24" s="18" t="str">
        <x:v>FD-06-0074</x:v>
      </x:c>
      <x:c r="C24" s="17" t="str">
        <x:v>media-scripter</x:v>
      </x:c>
      <x:c r="D24" s="17" t="str">
        <x:v>06-03 讲义、课件与阅读材料</x:v>
      </x:c>
      <x:c r="E24" s="17" t="str">
        <x:v>这个技能主要用于讲义、课件与阅读材料。它可以帮助使用者整理讲义、教材或学习指南、设计数字课程或教学视频脚本、检查并改善无障碍学习条件、制作多语言或双语教学材料。</x:v>
      </x:c>
      <x:c r="F24" s="17" t="str">
        <x:v>教师、助教、学生</x:v>
      </x:c>
      <x:c r="G24" s="17" t="str">
        <x:v>需要制作或整理讲义、课件、学习指南、阅读清单和自学材料时</x:v>
      </x:c>
      <x:c r="H24" s="17" t="str">
        <x:v>课程主题、学习目标、已有资料、学生层次和希望采用的文件格式</x:v>
      </x:c>
      <x:c r="I24" s="17" t="str">
        <x:v>讲义提纲、课件、学习指南、阅读清单、示例和练习材料</x:v>
      </x:c>
      <x:c r="J24" s="19" t="str">
        <x:v>可直接使用</x:v>
      </x:c>
      <x:c r="K24" s="19" t="str">
        <x:v>SA</x:v>
      </x:c>
      <x:c r="L24" s="17" t="str">
        <x:v>安全等级 SA：固定版本主要由说明、清单或模板组成，静态检查未发现账号、外部写回或可执行载荷方面的阻断性问题。</x:v>
      </x:c>
      <x:c r="M24" s="17" t="str">
        <x:v>MIT</x:v>
      </x:c>
      <x:c r="N24" s="17" t="str">
        <x:v>GitHub 固定提交版本</x:v>
      </x:c>
      <x:c r="O24" s="17" t="str">
        <x:v>YujxZJCN</x:v>
      </x:c>
      <x:c r="P24" s="17" t="str">
        <x:v>YujxZJCN/teaching-skills</x:v>
      </x:c>
      <x:c r="Q24" s="19" t="str">
        <x:v>50258caf73fb0495adc725864fdf278a3072716c</x:v>
      </x:c>
      <x:c r="R24" s="19" t="str">
        <x:v>2026-08-09</x:v>
      </x:c>
      <x:c r="S24" s="17" t="str">
        <x:v>https://github.com/YujxZJCN/teaching-skills/blob/50258caf73fb0495adc725864fdf278a3072716c/media-scripter/SKILL.md</x:v>
      </x:c>
    </x:row>
    <x:row r="25" ht="64" customHeight="1">
      <x:c r="A25" s="18" t="n">
        <x:v>21</x:v>
      </x:c>
      <x:c r="B25" s="18" t="str">
        <x:v>FD-06-0075</x:v>
      </x:c>
      <x:c r="C25" s="17" t="str">
        <x:v>Metacognitive Prompt Library</x:v>
      </x:c>
      <x:c r="D25" s="17" t="str">
        <x:v>06-03 讲义、课件与阅读材料</x:v>
      </x:c>
      <x:c r="E25" s="17" t="str">
        <x:v>这个技能主要用于讲义、课件与阅读材料。它可以帮助使用者检查课程或教学材料质量、把课程内容整理成易读材料、制作讲义或课件、补充阅读与学习提示。</x:v>
      </x:c>
      <x:c r="F25" s="17" t="str">
        <x:v>教师、助教、学生</x:v>
      </x:c>
      <x:c r="G25" s="17" t="str">
        <x:v>需要制作或整理讲义、课件、学习指南、阅读清单和自学材料时</x:v>
      </x:c>
      <x:c r="H25" s="17" t="str">
        <x:v>课程主题、学习目标、已有资料、学生层次和希望采用的文件格式</x:v>
      </x:c>
      <x:c r="I25" s="17" t="str">
        <x:v>讲义提纲、课件、学习指南、阅读清单、示例和练习材料</x:v>
      </x:c>
      <x:c r="J25" s="19" t="str">
        <x:v>可直接使用</x:v>
      </x:c>
      <x:c r="K25" s="19" t="str">
        <x:v>SA</x:v>
      </x:c>
      <x:c r="L25" s="17" t="str">
        <x:v>安全等级 SA：固定版本主要由说明、清单或模板组成，静态检查未发现账号、外部写回或可执行载荷方面的阻断性问题。</x:v>
      </x:c>
      <x:c r="M25" s="17" t="str">
        <x:v>CC-BY-SA-4.0</x:v>
      </x:c>
      <x:c r="N25" s="17" t="str">
        <x:v>GitHub 固定提交版本</x:v>
      </x:c>
      <x:c r="O25" s="17" t="str">
        <x:v>GarethManning</x:v>
      </x:c>
      <x:c r="P25" s="17" t="str">
        <x:v>GarethManning/education-agent-skills</x:v>
      </x:c>
      <x:c r="Q25" s="19" t="str">
        <x:v>34702c1c1465389192e760e5faa4476d234f9122</x:v>
      </x:c>
      <x:c r="R25" s="19" t="str">
        <x:v>2026-08-09</x:v>
      </x:c>
      <x:c r="S25" s="17" t="str">
        <x:v>https://github.com/GarethManning/education-agent-skills/blob/34702c1c1465389192e760e5faa4476d234f9122/skills/self-regulated-learning/metacognitive-prompt-library/SKILL.md</x:v>
      </x:c>
    </x:row>
    <x:row r="26" ht="64" customHeight="1">
      <x:c r="A26" s="18" t="n">
        <x:v>22</x:v>
      </x:c>
      <x:c r="B26" s="18" t="str">
        <x:v>FD-06-0076</x:v>
      </x:c>
      <x:c r="C26" s="17" t="str">
        <x:v>Reading Comprehension Strategy Selector</x:v>
      </x:c>
      <x:c r="D26" s="17" t="str">
        <x:v>06-03 讲义、课件与阅读材料</x:v>
      </x:c>
      <x:c r="E26" s="17" t="str">
        <x:v>这个技能主要用于讲义、课件与阅读材料。它可以帮助使用者准备阅读清单和阅读提示、把课程内容整理成易读材料、制作讲义或课件、补充阅读与学习提示。</x:v>
      </x:c>
      <x:c r="F26" s="17" t="str">
        <x:v>教师、助教、学生</x:v>
      </x:c>
      <x:c r="G26" s="17" t="str">
        <x:v>需要制作或整理讲义、课件、学习指南、阅读清单和自学材料时</x:v>
      </x:c>
      <x:c r="H26" s="17" t="str">
        <x:v>课程主题、学习目标、已有资料、学生层次和希望采用的文件格式</x:v>
      </x:c>
      <x:c r="I26" s="17" t="str">
        <x:v>讲义提纲、课件、学习指南、阅读清单、示例和练习材料</x:v>
      </x:c>
      <x:c r="J26" s="19" t="str">
        <x:v>可直接使用</x:v>
      </x:c>
      <x:c r="K26" s="19" t="str">
        <x:v>SA</x:v>
      </x:c>
      <x:c r="L26" s="17" t="str">
        <x:v>安全等级 SA：固定版本主要由说明、清单或模板组成，静态检查未发现账号、外部写回或可执行载荷方面的阻断性问题。</x:v>
      </x:c>
      <x:c r="M26" s="17" t="str">
        <x:v>CC-BY-SA-4.0</x:v>
      </x:c>
      <x:c r="N26" s="17" t="str">
        <x:v>GitHub 固定提交版本</x:v>
      </x:c>
      <x:c r="O26" s="17" t="str">
        <x:v>GarethManning</x:v>
      </x:c>
      <x:c r="P26" s="17" t="str">
        <x:v>GarethManning/education-agent-skills</x:v>
      </x:c>
      <x:c r="Q26" s="19" t="str">
        <x:v>34702c1c1465389192e760e5faa4476d234f9122</x:v>
      </x:c>
      <x:c r="R26" s="19" t="str">
        <x:v>2026-08-09</x:v>
      </x:c>
      <x:c r="S26" s="17" t="str">
        <x:v>https://github.com/GarethManning/education-agent-skills/blob/34702c1c1465389192e760e5faa4476d234f9122/skills/literacy-critical-thinking/reading-comprehension-strategy-selector/SKILL.md</x:v>
      </x:c>
    </x:row>
    <x:row r="27" ht="64" customHeight="1">
      <x:c r="A27" s="18" t="n">
        <x:v>23</x:v>
      </x:c>
      <x:c r="B27" s="18" t="str">
        <x:v>FD-06-0077</x:v>
      </x:c>
      <x:c r="C27" s="17" t="str">
        <x:v>Self-Explanation Prompt Designer</x:v>
      </x:c>
      <x:c r="D27" s="17" t="str">
        <x:v>06-03 讲义、课件与阅读材料</x:v>
      </x:c>
      <x:c r="E27" s="17" t="str">
        <x:v>这个技能主要用于讲义、课件与阅读材料。它可以帮助使用者编写示例和逐步讲解、设计考试或终结性评价、把课程内容整理成易读材料、制作讲义或课件。</x:v>
      </x:c>
      <x:c r="F27" s="17" t="str">
        <x:v>教师、助教、学生</x:v>
      </x:c>
      <x:c r="G27" s="17" t="str">
        <x:v>需要制作或整理讲义、课件、学习指南、阅读清单和自学材料时</x:v>
      </x:c>
      <x:c r="H27" s="17" t="str">
        <x:v>课程主题、学习目标、已有资料、学生层次和希望采用的文件格式</x:v>
      </x:c>
      <x:c r="I27" s="17" t="str">
        <x:v>讲义提纲、课件、学习指南、阅读清单、示例和练习材料</x:v>
      </x:c>
      <x:c r="J27" s="19" t="str">
        <x:v>可直接使用</x:v>
      </x:c>
      <x:c r="K27" s="19" t="str">
        <x:v>SA</x:v>
      </x:c>
      <x:c r="L27" s="17" t="str">
        <x:v>安全等级 SA：固定版本主要由说明、清单或模板组成，静态检查未发现账号、外部写回或可执行载荷方面的阻断性问题。</x:v>
      </x:c>
      <x:c r="M27" s="17" t="str">
        <x:v>CC-BY-SA-4.0</x:v>
      </x:c>
      <x:c r="N27" s="17" t="str">
        <x:v>GitHub 固定提交版本</x:v>
      </x:c>
      <x:c r="O27" s="17" t="str">
        <x:v>GarethManning</x:v>
      </x:c>
      <x:c r="P27" s="17" t="str">
        <x:v>GarethManning/education-agent-skills</x:v>
      </x:c>
      <x:c r="Q27" s="19" t="str">
        <x:v>34702c1c1465389192e760e5faa4476d234f9122</x:v>
      </x:c>
      <x:c r="R27" s="19" t="str">
        <x:v>2026-08-09</x:v>
      </x:c>
      <x:c r="S27" s="17" t="str">
        <x:v>https://github.com/GarethManning/education-agent-skills/blob/34702c1c1465389192e760e5faa4476d234f9122/skills/ai-learning-science/self-explanation-prompt-designer/SKILL.md</x:v>
      </x:c>
    </x:row>
    <x:row r="28" ht="64" customHeight="1">
      <x:c r="A28" s="18" t="n">
        <x:v>24</x:v>
      </x:c>
      <x:c r="B28" s="18" t="str">
        <x:v>FD-06-0078</x:v>
      </x:c>
      <x:c r="C28" s="17" t="str">
        <x:v>Study Strategy Selector &amp; Guide</x:v>
      </x:c>
      <x:c r="D28" s="17" t="str">
        <x:v>06-03 讲义、课件与阅读材料</x:v>
      </x:c>
      <x:c r="E28" s="17" t="str">
        <x:v>这个技能主要用于讲义、课件与阅读材料。它可以帮助使用者把课程内容整理成易读材料、制作讲义或课件、补充阅读与学习提示。</x:v>
      </x:c>
      <x:c r="F28" s="17" t="str">
        <x:v>教师、助教、学生</x:v>
      </x:c>
      <x:c r="G28" s="17" t="str">
        <x:v>需要制作或整理讲义、课件、学习指南、阅读清单和自学材料时</x:v>
      </x:c>
      <x:c r="H28" s="17" t="str">
        <x:v>课程主题、学习目标、已有资料、学生层次和希望采用的文件格式</x:v>
      </x:c>
      <x:c r="I28" s="17" t="str">
        <x:v>讲义提纲、课件、学习指南、阅读清单、示例和练习材料</x:v>
      </x:c>
      <x:c r="J28" s="19" t="str">
        <x:v>可直接使用</x:v>
      </x:c>
      <x:c r="K28" s="19" t="str">
        <x:v>SA</x:v>
      </x:c>
      <x:c r="L28" s="17" t="str">
        <x:v>安全等级 SA：固定版本主要由说明、清单或模板组成，静态检查未发现账号、外部写回或可执行载荷方面的阻断性问题。</x:v>
      </x:c>
      <x:c r="M28" s="17" t="str">
        <x:v>CC-BY-SA-4.0</x:v>
      </x:c>
      <x:c r="N28" s="17" t="str">
        <x:v>GitHub 固定提交版本</x:v>
      </x:c>
      <x:c r="O28" s="17" t="str">
        <x:v>GarethManning</x:v>
      </x:c>
      <x:c r="P28" s="17" t="str">
        <x:v>GarethManning/education-agent-skills</x:v>
      </x:c>
      <x:c r="Q28" s="19" t="str">
        <x:v>34702c1c1465389192e760e5faa4476d234f9122</x:v>
      </x:c>
      <x:c r="R28" s="19" t="str">
        <x:v>2026-08-09</x:v>
      </x:c>
      <x:c r="S28" s="17" t="str">
        <x:v>https://github.com/GarethManning/education-agent-skills/blob/34702c1c1465389192e760e5faa4476d234f9122/skills/self-regulated-learning/study-strategy-selector/SKILL.md</x:v>
      </x:c>
    </x:row>
    <x:row r="29" ht="64" customHeight="1">
      <x:c r="A29" s="18" t="n">
        <x:v>25</x:v>
      </x:c>
      <x:c r="B29" s="18" t="str">
        <x:v>FD-06-0079</x:v>
      </x:c>
      <x:c r="C29" s="17" t="str">
        <x:v>syllabus</x:v>
      </x:c>
      <x:c r="D29" s="17" t="str">
        <x:v>06-03 讲义、课件与阅读材料</x:v>
      </x:c>
      <x:c r="E29" s="17" t="str">
        <x:v>这个技能主要用于讲义、课件与阅读材料。它可以帮助使用者梳理学习目标和能力要求、编写或检查教学大纲、准备阅读清单和阅读提示、设计实验或实践步骤。</x:v>
      </x:c>
      <x:c r="F29" s="17" t="str">
        <x:v>教师、助教、学生</x:v>
      </x:c>
      <x:c r="G29" s="17" t="str">
        <x:v>需要制作或整理讲义、课件、学习指南、阅读清单和自学材料时</x:v>
      </x:c>
      <x:c r="H29" s="17" t="str">
        <x:v>课程主题、学习目标、已有资料、学生层次和希望采用的文件格式</x:v>
      </x:c>
      <x:c r="I29" s="17" t="str">
        <x:v>讲义提纲、课件、学习指南、阅读清单、示例和练习材料</x:v>
      </x:c>
      <x:c r="J29" s="19" t="str">
        <x:v>需要重新改造</x:v>
      </x:c>
      <x:c r="K29" s="19" t="str">
        <x:v>SB-A</x:v>
      </x:c>
      <x:c r="L29" s="17" t="str">
        <x:v>安全等级 SB-A：原包含需要删减或重写的网络、数据、自动决定或权限步骤；正式库只能收录明确列出改造要求的适配方案。</x:v>
      </x:c>
      <x:c r="M29" s="17" t="str">
        <x:v>MIT</x:v>
      </x:c>
      <x:c r="N29" s="17" t="str">
        <x:v>GitHub 固定提交版本</x:v>
      </x:c>
      <x:c r="O29" s="17" t="str">
        <x:v>alirezarezvani</x:v>
      </x:c>
      <x:c r="P29" s="17" t="str">
        <x:v>alirezarezvani/claude-skills</x:v>
      </x:c>
      <x:c r="Q29" s="19" t="str">
        <x:v>aa8d778811a557a2c28ccadda4cf3d0bd028a4cc</x:v>
      </x:c>
      <x:c r="R29" s="19" t="str">
        <x:v>2026-08-09</x:v>
      </x:c>
      <x:c r="S29" s="17" t="str">
        <x:v>https://github.com/alirezarezvani/claude-skills/blob/aa8d778811a557a2c28ccadda4cf3d0bd028a4cc/research/syllabus/skills/syllabus/SKILL.md</x:v>
      </x:c>
    </x:row>
    <x:row r="30" ht="64" customHeight="1">
      <x:c r="A30" s="18" t="n">
        <x:v>26</x:v>
      </x:c>
      <x:c r="B30" s="18" t="str">
        <x:v>FD-06-0080</x:v>
      </x:c>
      <x:c r="C30" s="17" t="str">
        <x:v>Think-Aloud Script Generator</x:v>
      </x:c>
      <x:c r="D30" s="17" t="str">
        <x:v>06-03 讲义、课件与阅读材料</x:v>
      </x:c>
      <x:c r="E30" s="17" t="str">
        <x:v>这个技能主要用于讲义、课件与阅读材料。它可以帮助使用者准备阅读清单和阅读提示、把课程内容整理成易读材料、制作讲义或课件、补充阅读与学习提示。</x:v>
      </x:c>
      <x:c r="F30" s="17" t="str">
        <x:v>教师、助教、学生</x:v>
      </x:c>
      <x:c r="G30" s="17" t="str">
        <x:v>需要制作或整理讲义、课件、学习指南、阅读清单和自学材料时</x:v>
      </x:c>
      <x:c r="H30" s="17" t="str">
        <x:v>课程主题、学习目标、已有资料、学生层次和希望采用的文件格式</x:v>
      </x:c>
      <x:c r="I30" s="17" t="str">
        <x:v>讲义提纲、课件、学习指南、阅读清单、示例和练习材料</x:v>
      </x:c>
      <x:c r="J30" s="19" t="str">
        <x:v>可直接使用</x:v>
      </x:c>
      <x:c r="K30" s="19" t="str">
        <x:v>SA</x:v>
      </x:c>
      <x:c r="L30" s="17" t="str">
        <x:v>安全等级 SA：固定版本主要由说明、清单或模板组成，静态检查未发现账号、外部写回或可执行载荷方面的阻断性问题。</x:v>
      </x:c>
      <x:c r="M30" s="17" t="str">
        <x:v>CC-BY-SA-4.0</x:v>
      </x:c>
      <x:c r="N30" s="17" t="str">
        <x:v>GitHub 固定提交版本</x:v>
      </x:c>
      <x:c r="O30" s="17" t="str">
        <x:v>GarethManning</x:v>
      </x:c>
      <x:c r="P30" s="17" t="str">
        <x:v>GarethManning/education-agent-skills</x:v>
      </x:c>
      <x:c r="Q30" s="19" t="str">
        <x:v>34702c1c1465389192e760e5faa4476d234f9122</x:v>
      </x:c>
      <x:c r="R30" s="19" t="str">
        <x:v>2026-08-09</x:v>
      </x:c>
      <x:c r="S30" s="17" t="str">
        <x:v>https://github.com/GarethManning/education-agent-skills/blob/34702c1c1465389192e760e5faa4476d234f9122/skills/explicit-instruction/think-aloud-script-generator/SKILL.md</x:v>
      </x:c>
    </x:row>
    <x:row r="31" ht="64" customHeight="1">
      <x:c r="A31" s="18" t="n">
        <x:v>27</x:v>
      </x:c>
      <x:c r="B31" s="18" t="str">
        <x:v>FD-06-0081</x:v>
      </x:c>
      <x:c r="C31" s="17" t="str">
        <x:v>Worked Example Designer with Completion Fading</x:v>
      </x:c>
      <x:c r="D31" s="17" t="str">
        <x:v>06-03 讲义、课件与阅读材料</x:v>
      </x:c>
      <x:c r="E31" s="17" t="str">
        <x:v>这个技能主要用于讲义、课件与阅读材料。它可以帮助使用者编写示例和逐步讲解、设计考试或终结性评价、把课程内容整理成易读材料、制作讲义或课件。</x:v>
      </x:c>
      <x:c r="F31" s="17" t="str">
        <x:v>教师、助教、学生</x:v>
      </x:c>
      <x:c r="G31" s="17" t="str">
        <x:v>需要制作或整理讲义、课件、学习指南、阅读清单和自学材料时</x:v>
      </x:c>
      <x:c r="H31" s="17" t="str">
        <x:v>课程主题、学习目标、已有资料、学生层次和希望采用的文件格式</x:v>
      </x:c>
      <x:c r="I31" s="17" t="str">
        <x:v>讲义提纲、课件、学习指南、阅读清单、示例和练习材料</x:v>
      </x:c>
      <x:c r="J31" s="19" t="str">
        <x:v>可直接使用</x:v>
      </x:c>
      <x:c r="K31" s="19" t="str">
        <x:v>SA</x:v>
      </x:c>
      <x:c r="L31" s="17" t="str">
        <x:v>安全等级 SA：固定版本主要由说明、清单或模板组成，静态检查未发现账号、外部写回或可执行载荷方面的阻断性问题。</x:v>
      </x:c>
      <x:c r="M31" s="17" t="str">
        <x:v>CC-BY-SA-4.0</x:v>
      </x:c>
      <x:c r="N31" s="17" t="str">
        <x:v>GitHub 固定提交版本</x:v>
      </x:c>
      <x:c r="O31" s="17" t="str">
        <x:v>GarethManning</x:v>
      </x:c>
      <x:c r="P31" s="17" t="str">
        <x:v>GarethManning/education-agent-skills</x:v>
      </x:c>
      <x:c r="Q31" s="19" t="str">
        <x:v>34702c1c1465389192e760e5faa4476d234f9122</x:v>
      </x:c>
      <x:c r="R31" s="19" t="str">
        <x:v>2026-08-09</x:v>
      </x:c>
      <x:c r="S31" s="17" t="str">
        <x:v>https://github.com/GarethManning/education-agent-skills/blob/34702c1c1465389192e760e5faa4476d234f9122/skills/memory-learning-science/worked-example-fading-designer/SKILL.md</x:v>
      </x:c>
    </x:row>
    <x:row r="32" ht="64" customHeight="1">
      <x:c r="A32" s="18" t="n">
        <x:v>28</x:v>
      </x:c>
      <x:c r="B32" s="18" t="str">
        <x:v>FD-06-0082</x:v>
      </x:c>
      <x:c r="C32" s="17" t="str">
        <x:v>Worked Example to Problem Solving Transition Designer</x:v>
      </x:c>
      <x:c r="D32" s="17" t="str">
        <x:v>06-03 讲义、课件与阅读材料</x:v>
      </x:c>
      <x:c r="E32" s="17" t="str">
        <x:v>这个技能主要用于讲义、课件与阅读材料。它可以帮助使用者编写示例和逐步讲解、设计考试或终结性评价、把课程内容整理成易读材料、制作讲义或课件。</x:v>
      </x:c>
      <x:c r="F32" s="17" t="str">
        <x:v>教师、助教、学生</x:v>
      </x:c>
      <x:c r="G32" s="17" t="str">
        <x:v>需要制作或整理讲义、课件、学习指南、阅读清单和自学材料时</x:v>
      </x:c>
      <x:c r="H32" s="17" t="str">
        <x:v>课程主题、学习目标、已有资料、学生层次和希望采用的文件格式</x:v>
      </x:c>
      <x:c r="I32" s="17" t="str">
        <x:v>讲义提纲、课件、学习指南、阅读清单、示例和练习材料</x:v>
      </x:c>
      <x:c r="J32" s="19" t="str">
        <x:v>可直接使用</x:v>
      </x:c>
      <x:c r="K32" s="19" t="str">
        <x:v>SA</x:v>
      </x:c>
      <x:c r="L32" s="17" t="str">
        <x:v>安全等级 SA：固定版本主要由说明、清单或模板组成，静态检查未发现账号、外部写回或可执行载荷方面的阻断性问题。</x:v>
      </x:c>
      <x:c r="M32" s="17" t="str">
        <x:v>CC-BY-SA-4.0</x:v>
      </x:c>
      <x:c r="N32" s="17" t="str">
        <x:v>GitHub 固定提交版本</x:v>
      </x:c>
      <x:c r="O32" s="17" t="str">
        <x:v>GarethManning</x:v>
      </x:c>
      <x:c r="P32" s="17" t="str">
        <x:v>GarethManning/education-agent-skills</x:v>
      </x:c>
      <x:c r="Q32" s="19" t="str">
        <x:v>34702c1c1465389192e760e5faa4476d234f9122</x:v>
      </x:c>
      <x:c r="R32" s="19" t="str">
        <x:v>2026-08-09</x:v>
      </x:c>
      <x:c r="S32" s="17" t="str">
        <x:v>https://github.com/GarethManning/education-agent-skills/blob/34702c1c1465389192e760e5faa4476d234f9122/skills/ai-learning-science/worked-example-to-problem-solving-transition-designer/SKILL.md</x:v>
      </x:c>
    </x:row>
  </x:sheetData>
  <x:mergeCells>
    <x:mergeCell ref="A1:S1"/>
    <x:mergeCell ref="A2:S2"/>
  </x:mergeCells>
  <x:conditionalFormatting sqref="K5:K32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15a21f81e24a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06-03 讲义、课件与阅读材料｜分类统计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COUNTA('AI技能清单'!$B$5:$B$32)</x:f>
        <x:v>28</x:v>
      </x:c>
      <x:c r="D4" s="9" t="str">
        <x:v>06-03 讲义、课件与阅读材料</x:v>
      </x:c>
      <x:c r="E4" s="9" t="n">
        <x:f>COUNTIF('AI技能清单'!$D$5:$D$32,D4)</x:f>
        <x:v>28</x:v>
      </x:c>
      <x:c r="G4" s="9" t="str">
        <x:v>GitHub 固定提交版本</x:v>
      </x:c>
      <x:c r="H4" s="9" t="n">
        <x:f>COUNTIF('AI技能清单'!$N$5:$N$32,G4)</x:f>
        <x:v>28</x:v>
      </x:c>
      <x:c r="J4" s="9" t="str">
        <x:v>Apache-2.0</x:v>
      </x:c>
      <x:c r="K4" s="9" t="n">
        <x:f>COUNTIF('AI技能清单'!$M$5:$M$32,J4)</x:f>
        <x:v>2</x:v>
      </x:c>
    </x:row>
    <x:row r="5">
      <x:c r="A5" s="9" t="str">
        <x:v>安全等级 SA</x:v>
      </x:c>
      <x:c r="B5" s="9" t="n">
        <x:f>COUNTIF('AI技能清单'!$K$5:$K$32,"SA")</x:f>
        <x:v>19</x:v>
      </x:c>
      <x:c r="J5" s="9" t="str">
        <x:v>CC-BY-SA-4.0</x:v>
      </x:c>
      <x:c r="K5" s="9" t="n">
        <x:f>COUNTIF('AI技能清单'!$M$5:$M$32,J5)</x:f>
        <x:v>17</x:v>
      </x:c>
    </x:row>
    <x:row r="6">
      <x:c r="A6" s="9" t="str">
        <x:v>安全等级 SB</x:v>
      </x:c>
      <x:c r="B6" s="9" t="n">
        <x:f>COUNTIF('AI技能清单'!$K$5:$K$32,"SB")</x:f>
        <x:v>5</x:v>
      </x:c>
      <x:c r="J6" s="9" t="str">
        <x:v>MIT</x:v>
      </x:c>
      <x:c r="K6" s="9" t="n">
        <x:f>COUNTIF('AI技能清单'!$M$5:$M$32,J6)</x:f>
        <x:v>9</x:v>
      </x:c>
    </x:row>
    <x:row r="7">
      <x:c r="A7" s="9" t="str">
        <x:v>安全等级 SB-A</x:v>
      </x:c>
      <x:c r="B7" s="9" t="n">
        <x:f>COUNTIF('AI技能清单'!$K$5:$K$32,"SB-A")</x:f>
        <x:v>4</x:v>
      </x:c>
    </x:row>
    <x:row r="8">
      <x:c r="A8" s="9" t="str">
        <x:v>可直接使用</x:v>
      </x:c>
      <x:c r="B8" s="9" t="n">
        <x:f>COUNTIF('AI技能清单'!$J$5:$J$32,"可直接使用")</x:f>
        <x:v>19</x:v>
      </x:c>
    </x:row>
    <x:row r="9">
      <x:c r="A9" s="9" t="str">
        <x:v>需要少量调整</x:v>
      </x:c>
      <x:c r="B9" s="9" t="n">
        <x:f>COUNTIF('AI技能清单'!$J$5:$J$32,"需要少量调整")</x:f>
        <x:v>5</x:v>
      </x:c>
    </x:row>
    <x:row r="10">
      <x:c r="A10" s="9" t="str">
        <x:v>需要重新改造</x:v>
      </x:c>
      <x:c r="B10" s="9" t="n">
        <x:f>COUNTIF('AI技能清单'!$J$5:$J$32,"需要重新改造")</x:f>
        <x:v>4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06-03 讲义、课件与阅读材料｜公开来源清单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COUNTIF('AI技能清单'!$P$5:$P$32,A5)</x:f>
        <x:v>1</x:v>
      </x:c>
      <x:c r="G5" s="19" t="str">
        <x:v>SA</x:v>
      </x:c>
      <x:c r="H5" s="17" t="str">
        <x:v>https://github.com/a5c-ai/babysitter/blob/ca6e2eaa04a61c528776b1480d6a1bd3896cc028/library/specializations/domains/social-sciences-humanities/education/skills/elearning-storyboarding/SKILL.md</x:v>
      </x:c>
    </x:row>
    <x:row r="6">
      <x:c r="A6" s="17" t="str">
        <x:v>alirezarezvani/claude-skills</x:v>
      </x:c>
      <x:c r="B6" s="17" t="str">
        <x:v>GitHub 固定提交版本</x:v>
      </x:c>
      <x:c r="C6" s="17" t="str">
        <x:v>alirezarezvani</x:v>
      </x:c>
      <x:c r="D6" s="17" t="str">
        <x:v>MIT</x:v>
      </x:c>
      <x:c r="E6" s="19" t="n">
        <x:v>1</x:v>
      </x:c>
      <x:c r="F6" s="19" t="n">
        <x:f>COUNTIF('AI技能清单'!$P$5:$P$32,A6)</x:f>
        <x:v>1</x:v>
      </x:c>
      <x:c r="G6" s="19" t="str">
        <x:v>SB-A</x:v>
      </x:c>
      <x:c r="H6" s="17" t="str">
        <x:v>https://github.com/alirezarezvani/claude-skills/blob/aa8d778811a557a2c28ccadda4cf3d0bd028a4cc/research/syllabus/skills/syllabus/SKILL.md</x:v>
      </x:c>
    </x:row>
    <x:row r="7">
      <x:c r="A7" s="17" t="str">
        <x:v>FerroxLabs/wayland</x:v>
      </x:c>
      <x:c r="B7" s="17" t="str">
        <x:v>GitHub 固定提交版本</x:v>
      </x:c>
      <x:c r="C7" s="17" t="str">
        <x:v>FerroxLabs</x:v>
      </x:c>
      <x:c r="D7" s="17" t="str">
        <x:v>Apache-2.0</x:v>
      </x:c>
      <x:c r="E7" s="19" t="n">
        <x:v>1</x:v>
      </x:c>
      <x:c r="F7" s="19" t="n">
        <x:f>COUNTIF('AI技能清单'!$P$5:$P$32,A7)</x:f>
        <x:v>1</x:v>
      </x:c>
      <x:c r="G7" s="19" t="str">
        <x:v>SA</x:v>
      </x:c>
      <x:c r="H7" s="17" t="str">
        <x:v>https://github.com/FerroxLabs/wayland/blob/b3cd0511a4406d5e837db9d7e42e395c08387baf/src/process/resources/skills-library/bodies/skills/education/educational-content-creator/SKILL.md</x:v>
      </x:c>
    </x:row>
    <x:row r="8">
      <x:c r="A8" s="17" t="str">
        <x:v>GarethManning/education-agent-skills</x:v>
      </x:c>
      <x:c r="B8" s="17" t="str">
        <x:v>GitHub 固定提交版本</x:v>
      </x:c>
      <x:c r="C8" s="17" t="str">
        <x:v>GarethManning</x:v>
      </x:c>
      <x:c r="D8" s="17" t="str">
        <x:v>CC-BY-SA-4.0</x:v>
      </x:c>
      <x:c r="E8" s="19" t="n">
        <x:v>1</x:v>
      </x:c>
      <x:c r="F8" s="19" t="n">
        <x:f>COUNTIF('AI技能清单'!$P$5:$P$32,A8)</x:f>
        <x:v>17</x:v>
      </x:c>
      <x:c r="G8" s="19" t="str">
        <x:v>SA、SB</x:v>
      </x:c>
      <x:c r="H8" s="17" t="str">
        <x:v>https://github.com/GarethManning/education-agent-skills/blob/34702c1c1465389192e760e5faa4476d234f9122/skills/literacy-critical-thinking/argument-structure-scaffold-generator/SKILL.md</x:v>
      </x:c>
    </x:row>
    <x:row r="9">
      <x:c r="A9" s="17" t="str">
        <x:v>Jellypod-Inc/school-skills</x:v>
      </x:c>
      <x:c r="B9" s="17" t="str">
        <x:v>GitHub 固定提交版本</x:v>
      </x:c>
      <x:c r="C9" s="17" t="str">
        <x:v>Jellypod-Inc</x:v>
      </x:c>
      <x:c r="D9" s="17" t="str">
        <x:v>MIT</x:v>
      </x:c>
      <x:c r="E9" s="19" t="n">
        <x:v>1</x:v>
      </x:c>
      <x:c r="F9" s="19" t="n">
        <x:f>COUNTIF('AI技能清单'!$P$5:$P$32,A9)</x:f>
        <x:v>2</x:v>
      </x:c>
      <x:c r="G9" s="19" t="str">
        <x:v>SB</x:v>
      </x:c>
      <x:c r="H9" s="17" t="str">
        <x:v>https://github.com/Jellypod-Inc/school-skills/blob/cd484795e924e454caafd13ddc25c1ec76c48718/skills/concept-map/SKILL.md</x:v>
      </x:c>
    </x:row>
    <x:row r="10">
      <x:c r="A10" s="17" t="str">
        <x:v>nexu-io/html-anything</x:v>
      </x:c>
      <x:c r="B10" s="17" t="str">
        <x:v>GitHub 固定提交版本</x:v>
      </x:c>
      <x:c r="C10" s="17" t="str">
        <x:v>nexu-io</x:v>
      </x:c>
      <x:c r="D10" s="17" t="str">
        <x:v>Apache-2.0</x:v>
      </x:c>
      <x:c r="E10" s="19" t="n">
        <x:v>1</x:v>
      </x:c>
      <x:c r="F10" s="19" t="n">
        <x:f>COUNTIF('AI技能清单'!$P$5:$P$32,A10)</x:f>
        <x:v>1</x:v>
      </x:c>
      <x:c r="G10" s="19" t="str">
        <x:v>SA</x:v>
      </x:c>
      <x:c r="H10" s="17" t="str">
        <x:v>https://github.com/nexu-io/html-anything/blob/779fce327024612eba752fe42e1267a3918f7640/next/src/lib/templates/skills/deck-course-module/SKILL.md</x:v>
      </x:c>
    </x:row>
    <x:row r="11">
      <x:c r="A11" s="17" t="str">
        <x:v>travisjneuman/.claude</x:v>
      </x:c>
      <x:c r="B11" s="17" t="str">
        <x:v>GitHub 固定提交版本</x:v>
      </x:c>
      <x:c r="C11" s="17" t="str">
        <x:v>travisjneuman</x:v>
      </x:c>
      <x:c r="D11" s="17" t="str">
        <x:v>MIT</x:v>
      </x:c>
      <x:c r="E11" s="19" t="n">
        <x:v>1</x:v>
      </x:c>
      <x:c r="F11" s="19" t="n">
        <x:f>COUNTIF('AI技能清单'!$P$5:$P$32,A11)</x:f>
        <x:v>1</x:v>
      </x:c>
      <x:c r="G11" s="19" t="str">
        <x:v>SB-A</x:v>
      </x:c>
      <x:c r="H11" s="17" t="str">
        <x:v>https://github.com/travisjneuman/.claude/blob/e74cd20465be466b0f30c19da760bc986c50177f/skills/course-material-creator/SKILL.md</x:v>
      </x:c>
    </x:row>
    <x:row r="12">
      <x:c r="A12" s="17" t="str">
        <x:v>vishalsachdev/claude-skills</x:v>
      </x:c>
      <x:c r="B12" s="17" t="str">
        <x:v>GitHub 固定提交版本</x:v>
      </x:c>
      <x:c r="C12" s="17" t="str">
        <x:v>vishalsachdev</x:v>
      </x:c>
      <x:c r="D12" s="17" t="str">
        <x:v>MIT</x:v>
      </x:c>
      <x:c r="E12" s="19" t="n">
        <x:v>1</x:v>
      </x:c>
      <x:c r="F12" s="19" t="n">
        <x:f>COUNTIF('AI技能清单'!$P$5:$P$32,A12)</x:f>
        <x:v>1</x:v>
      </x:c>
      <x:c r="G12" s="19" t="str">
        <x:v>SB</x:v>
      </x:c>
      <x:c r="H12" s="17" t="str">
        <x:v>https://github.com/vishalsachdev/claude-skills/blob/92a6344c3ae6f724bc8279cafb2e2f9edd9827c9/course-generator/SKILL.md</x:v>
      </x:c>
    </x:row>
    <x:row r="13">
      <x:c r="A13" s="17" t="str">
        <x:v>YujxZJCN/teaching-skills</x:v>
      </x:c>
      <x:c r="B13" s="17" t="str">
        <x:v>GitHub 固定提交版本</x:v>
      </x:c>
      <x:c r="C13" s="17" t="str">
        <x:v>YujxZJCN</x:v>
      </x:c>
      <x:c r="D13" s="17" t="str">
        <x:v>MIT</x:v>
      </x:c>
      <x:c r="E13" s="19" t="n">
        <x:v>1</x:v>
      </x:c>
      <x:c r="F13" s="19" t="n">
        <x:f>COUNTIF('AI技能清单'!$P$5:$P$32,A13)</x:f>
        <x:v>3</x:v>
      </x:c>
      <x:c r="G13" s="19" t="str">
        <x:v>SA、SB-A</x:v>
      </x:c>
      <x:c r="H13" s="17" t="str">
        <x:v>https://github.com/YujxZJCN/teaching-skills/blob/50258caf73fb0495adc725864fdf278a3072716c/course-publisher/SKILL.md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8ba07565b2c4eed"/>
  </x:tableParts>
</x:worksheet>
</file>