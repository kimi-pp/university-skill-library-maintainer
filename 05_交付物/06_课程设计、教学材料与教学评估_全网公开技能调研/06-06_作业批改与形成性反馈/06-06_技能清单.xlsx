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23f30129174f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3c2950fcb478403c"/>
    <x:sheet xmlns:r="http://schemas.openxmlformats.org/officeDocument/2006/relationships" name="AI技能清单" sheetId="2" r:id="Rfd92f1143c774410"/>
    <x:sheet xmlns:r="http://schemas.openxmlformats.org/officeDocument/2006/relationships" name="分类统计" sheetId="3" r:id="R07395368572a44d0"/>
    <x:sheet xmlns:r="http://schemas.openxmlformats.org/officeDocument/2006/relationships" name="来源清单" sheetId="4" r:id="Ra7e76c6b106642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EEEF"/>
      </x:patternFill>
    </x:fill>
    <x:fill>
      <x:patternFill patternType="solid">
        <x:fgColor rgb="FF187B80"/>
      </x:patternFill>
    </x:fill>
    <x:fill>
      <x:patternFill patternType="solid">
        <x:fgColor rgb="FFE8EEF5"/>
      </x:patternFill>
    </x:fill>
  </x:fills>
  <x:borders count="2">
    <x:border/>
    <x:border>
      <x:left style="thin">
        <x:color rgb="FFC9D2DA"/>
      </x:left>
      <x:right style="thin">
        <x:color rgb="FFC9D2DA"/>
      </x:right>
      <x:top style="thin">
        <x:color rgb="FFC9D2DA"/>
      </x:top>
      <x:bottom style="thin">
        <x:color rgb="FFC9D2DA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E0F1E7"/>
        </x:patternFill>
      </x:fill>
    </x:dxf>
    <x:dxf>
      <x:font>
        <x:b/>
      </x:font>
      <x:fill>
        <x:patternFill patternType="solid">
          <x:bgColor rgb="FFFFF3D6"/>
        </x:patternFill>
      </x:fill>
    </x:dxf>
    <x:dxf>
      <x:font>
        <x:b/>
      </x:font>
      <x:fill>
        <x:patternFill patternType="solid">
          <x:bgColor rgb="FFFBE5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cb10a437f84533" /><Relationship Type="http://schemas.openxmlformats.org/officeDocument/2006/relationships/theme" Target="/xl/theme/theme1.xml" Id="Rc89ccecb593e405d" /><Relationship Type="http://schemas.openxmlformats.org/officeDocument/2006/relationships/sharedStrings" Target="/xl/sharedStrings.xml" Id="R9e81dee0b6fa42c5" /><Relationship Type="http://schemas.openxmlformats.org/officeDocument/2006/relationships/worksheet" Target="/xl/worksheets/sheet1.xml" Id="R3c2950fcb478403c" /><Relationship Type="http://schemas.openxmlformats.org/officeDocument/2006/relationships/worksheet" Target="/xl/worksheets/sheet2.xml" Id="Rfd92f1143c774410" /><Relationship Type="http://schemas.openxmlformats.org/officeDocument/2006/relationships/worksheet" Target="/xl/worksheets/sheet3.xml" Id="R07395368572a44d0" /><Relationship Type="http://schemas.openxmlformats.org/officeDocument/2006/relationships/worksheet" Target="/xl/worksheets/sheet4.xml" Id="Ra7e76c6b10664205" /></Relationships>
</file>

<file path=xl/tables/table1.xml><?xml version="1.0" encoding="utf-8"?>
<x:table xmlns:x="http://schemas.openxmlformats.org/spreadsheetml/2006/main" id="1" name="FD06Skills0606" displayName="FD06Skills0606" ref="A4:S19" headerRowCount="1" totalsRowCount="0" totalsRowShown="0">
  <x:tableColumns count="19">
    <x:tableColumn id="1" name="序号"/>
    <x:tableColumn id="2" name="Skill ID"/>
    <x:tableColumn id="3" name="Skill名称"/>
    <x:tableColumn id="4" name="主要小分类"/>
    <x:tableColumn id="5" name="简略功能"/>
    <x:tableColumn id="6" name="适用对象"/>
    <x:tableColumn id="7" name="典型场景"/>
    <x:tableColumn id="8" name="需要准备"/>
    <x:tableColumn id="9" name="可得到"/>
    <x:tableColumn id="10" name="采用建议"/>
    <x:tableColumn id="11" name="安全等级"/>
    <x:tableColumn id="12" name="安全说明"/>
    <x:tableColumn id="13" name="许可证"/>
    <x:tableColumn id="14" name="来源平台"/>
    <x:tableColumn id="15" name="维护者"/>
    <x:tableColumn id="16" name="仓库或项目"/>
    <x:tableColumn id="17" name="固定版本"/>
    <x:tableColumn id="18" name="核验日期"/>
    <x:tableColumn id="19" name="地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D06Sources0606" displayName="FD06Sources0606" ref="A4:H14" headerRowCount="1" totalsRowCount="0" totalsRowShown="0">
  <x:tableColumns count="8">
    <x:tableColumn id="1" name="来源项目"/>
    <x:tableColumn id="2" name="来源平台"/>
    <x:tableColumn id="3" name="维护者"/>
    <x:tableColumn id="4" name="许可证"/>
    <x:tableColumn id="5" name="固定版本数"/>
    <x:tableColumn id="6" name="正式技能数"/>
    <x:tableColumn id="7" name="安全等级"/>
    <x:tableColumn id="8" name="示例地址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455aaf5a46944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60a82555e64f46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78" hidden="0" customWidth="1"/>
    <x:col min="3" max="3" width="32" hidden="0" customWidth="1"/>
    <x:col min="4" max="4" width="32" hidden="0" customWidth="1"/>
  </x:cols>
  <x:sheetData>
    <x:row r="1" ht="36" customHeight="1">
      <x:c r="A1" s="3" t="str">
        <x:v>06-06 作业批改与形成性反馈｜使用说明</x:v>
      </x:c>
      <x:c r="B1" s="3"/>
      <x:c r="C1" s="3"/>
      <x:c r="D1" s="3"/>
      <x:c r="E1" s="3"/>
      <x:c r="F1" s="3"/>
      <x:c r="G1" s="3"/>
      <x:c r="H1" s="3"/>
    </x:row>
    <x:row r="2">
      <x:c r="A2" s="5" t="str">
        <x:v>全网公开来源｜仅含通过静态安全准入的正式技能｜核验日期截至 2026-08-09</x:v>
      </x:c>
      <x:c r="B2" s="5"/>
      <x:c r="C2" s="5"/>
      <x:c r="D2" s="5"/>
      <x:c r="E2" s="5"/>
      <x:c r="F2" s="5"/>
      <x:c r="G2" s="5"/>
      <x:c r="H2" s="5"/>
    </x:row>
    <x:row r="4">
      <x:c r="A4" s="8" t="str">
        <x:v>项目</x:v>
      </x:c>
      <x:c r="B4" s="8" t="str">
        <x:v>通俗说明</x:v>
      </x:c>
    </x:row>
    <x:row r="5">
      <x:c r="A5" s="11" t="str">
        <x:v>本表用途</x:v>
      </x:c>
      <x:c r="B5" s="12" t="str">
        <x:v>帮助教师、助教、教学管理人员、导师和评审人员按实际任务筛选可参考的 AI 技能。</x:v>
      </x:c>
    </x:row>
    <x:row r="6">
      <x:c r="A6" s="11" t="str">
        <x:v>正式数量</x:v>
      </x:c>
      <x:c r="B6" s="12" t="n">
        <x:v>15</x:v>
      </x:c>
    </x:row>
    <x:row r="7">
      <x:c r="A7" s="11" t="str">
        <x:v>收录范围</x:v>
      </x:c>
      <x:c r="B7" s="12" t="str">
        <x:v>06-06 作业批改与形成性反馈</x:v>
      </x:c>
    </x:row>
    <x:row r="8">
      <x:c r="A8" s="11" t="str">
        <x:v>来源范围</x:v>
      </x:c>
      <x:c r="B8" s="12" t="str">
        <x:v>全网公开来源，包括 GitHub、Hugging Face Space、ClawHub 等公开平台。</x:v>
      </x:c>
    </x:row>
    <x:row r="9">
      <x:c r="A9" s="11" t="str">
        <x:v>安全检查</x:v>
      </x:c>
      <x:c r="B9" s="12" t="str">
        <x:v>逐项固定版本读取说明、许可证和包内文件，并做静态安全审查。</x:v>
      </x:c>
    </x:row>
    <x:row r="10">
      <x:c r="A10" s="11" t="str">
        <x:v>运行状态</x:v>
      </x:c>
      <x:c r="B10" s="12" t="str">
        <x:v>未安装、未运行；只有用户另行明确指令后才可开展运行验证。</x:v>
      </x:c>
    </x:row>
    <x:row r="11">
      <x:c r="A11" s="11" t="str">
        <x:v>不含内容</x:v>
      </x:c>
      <x:c r="B11" s="12" t="str">
        <x:v>落选、重复、SC 和 SX 条目不进入本工作簿。</x:v>
      </x:c>
    </x:row>
    <x:row r="12">
      <x:c r="A12" s="11" t="str">
        <x:v>重要边界</x:v>
      </x:c>
      <x:c r="B12" s="12" t="str">
        <x:v>涉及成绩、学生权益、未公开论文、个人信息或最终评价决定时，必须由有权限人员复核。</x:v>
      </x:c>
    </x:row>
    <x:row r="14">
      <x:c r="A14" s="13" t="str">
        <x:v>安全等级与采用建议</x:v>
      </x:c>
      <x:c r="B14" s="13"/>
      <x:c r="C14" s="13"/>
      <x:c r="D14" s="13"/>
      <x:c r="E14" s="13"/>
      <x:c r="F14" s="13"/>
      <x:c r="G14" s="13"/>
      <x:c r="H14" s="13"/>
    </x:row>
    <x:row r="15">
      <x:c r="A15" s="14" t="str">
        <x:v>等级</x:v>
      </x:c>
      <x:c r="B15" s="14" t="str">
        <x:v>本次建议</x:v>
      </x:c>
      <x:c r="C15" s="14" t="str">
        <x:v>通俗含义</x:v>
      </x:c>
      <x:c r="D15" s="14" t="str">
        <x:v>使用前应做什么</x:v>
      </x:c>
    </x:row>
    <x:row r="16">
      <x:c r="A16" s="12" t="str">
        <x:v>SA</x:v>
      </x:c>
      <x:c r="B16" s="12" t="str">
        <x:v>可直接使用</x:v>
      </x:c>
      <x:c r="C16" s="12" t="str">
        <x:v>静态检查未发现阻断性问题。</x:v>
      </x:c>
      <x:c r="D16" s="12" t="str">
        <x:v>仍需按本校制度和实际任务复核输出。</x:v>
      </x:c>
    </x:row>
    <x:row r="17">
      <x:c r="A17" s="12" t="str">
        <x:v>SB</x:v>
      </x:c>
      <x:c r="B17" s="12" t="str">
        <x:v>需要少量调整</x:v>
      </x:c>
      <x:c r="C17" s="12" t="str">
        <x:v>基本可用，但要替换少量工具、路径、模板或规则。</x:v>
      </x:c>
      <x:c r="D17" s="12" t="str">
        <x:v>完成列出的调整并进行人工复核。</x:v>
      </x:c>
    </x:row>
    <x:row r="18">
      <x:c r="A18" s="12" t="str">
        <x:v>SB-A</x:v>
      </x:c>
      <x:c r="B18" s="12" t="str">
        <x:v>需要重新改造</x:v>
      </x:c>
      <x:c r="C18" s="12" t="str">
        <x:v>原项目不能直接接入学校环境。</x:v>
      </x:c>
      <x:c r="D18" s="12" t="str">
        <x:v>先删除或改写高风险步骤，再单独测试和审批。</x:v>
      </x:c>
    </x:row>
  </x:sheetData>
  <x:mergeCells>
    <x:mergeCell ref="A1:H1"/>
    <x:mergeCell ref="A2:H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25" hidden="0" customWidth="1"/>
    <x:col min="4" max="4" width="28" hidden="0" customWidth="1"/>
    <x:col min="5" max="5" width="48" hidden="0" customWidth="1"/>
    <x:col min="6" max="6" width="25" hidden="0" customWidth="1"/>
    <x:col min="7" max="7" width="46" hidden="0" customWidth="1"/>
    <x:col min="8" max="8" width="38" hidden="0" customWidth="1"/>
    <x:col min="9" max="9" width="38" hidden="0" customWidth="1"/>
    <x:col min="10" max="10" width="16" hidden="0" customWidth="1"/>
    <x:col min="11" max="11" width="12" hidden="0" customWidth="1"/>
    <x:col min="12" max="12" width="48" hidden="0" customWidth="1"/>
    <x:col min="13" max="13" width="18" hidden="0" customWidth="1"/>
    <x:col min="14" max="14" width="28" hidden="0" customWidth="1"/>
    <x:col min="15" max="15" width="22" hidden="0" customWidth="1"/>
    <x:col min="16" max="16" width="32" hidden="0" customWidth="1"/>
    <x:col min="17" max="17" width="24" hidden="0" customWidth="1"/>
    <x:col min="18" max="18" width="14" hidden="0" customWidth="1"/>
    <x:col min="19" max="19" width="58" hidden="0" customWidth="1"/>
  </x:cols>
  <x:sheetData>
    <x:row r="1" ht="36" customHeight="1">
      <x:c r="A1" s="3" t="str">
        <x:v>06-06 作业批改与形成性反馈｜正式 AI 技能清单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>
      <x:c r="A2" s="5" t="str">
        <x:v>共 15 项；所有功能说明均采用非计算机背景用户可直接理解的表述。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</x:row>
    <x:row r="4" ht="34" customHeight="1">
      <x:c r="A4" s="14" t="str">
        <x:v>序号</x:v>
      </x:c>
      <x:c r="B4" s="14" t="str">
        <x:v>Skill ID</x:v>
      </x:c>
      <x:c r="C4" s="14" t="str">
        <x:v>Skill名称</x:v>
      </x:c>
      <x:c r="D4" s="14" t="str">
        <x:v>主要小分类</x:v>
      </x:c>
      <x:c r="E4" s="14" t="str">
        <x:v>简略功能</x:v>
      </x:c>
      <x:c r="F4" s="14" t="str">
        <x:v>适用对象</x:v>
      </x:c>
      <x:c r="G4" s="14" t="str">
        <x:v>典型场景</x:v>
      </x:c>
      <x:c r="H4" s="14" t="str">
        <x:v>需要准备</x:v>
      </x:c>
      <x:c r="I4" s="14" t="str">
        <x:v>可得到</x:v>
      </x:c>
      <x:c r="J4" s="14" t="str">
        <x:v>采用建议</x:v>
      </x:c>
      <x:c r="K4" s="14" t="str">
        <x:v>安全等级</x:v>
      </x:c>
      <x:c r="L4" s="14" t="str">
        <x:v>安全说明</x:v>
      </x:c>
      <x:c r="M4" s="14" t="str">
        <x:v>许可证</x:v>
      </x:c>
      <x:c r="N4" s="14" t="str">
        <x:v>来源平台</x:v>
      </x:c>
      <x:c r="O4" s="14" t="str">
        <x:v>维护者</x:v>
      </x:c>
      <x:c r="P4" s="14" t="str">
        <x:v>仓库或项目</x:v>
      </x:c>
      <x:c r="Q4" s="14" t="str">
        <x:v>固定版本</x:v>
      </x:c>
      <x:c r="R4" s="14" t="str">
        <x:v>核验日期</x:v>
      </x:c>
      <x:c r="S4" s="14" t="str">
        <x:v>地址</x:v>
      </x:c>
    </x:row>
    <x:row r="5" ht="64" customHeight="1">
      <x:c r="A5" s="18" t="n">
        <x:v>1</x:v>
      </x:c>
      <x:c r="B5" s="18" t="str">
        <x:v>FD-06-0168</x:v>
      </x:c>
      <x:c r="C5" s="17" t="str">
        <x:v>AI Feedback Design Principles</x:v>
      </x:c>
      <x:c r="D5" s="17" t="str">
        <x:v>06-06 作业批改与形成性反馈</x:v>
      </x:c>
      <x:c r="E5" s="17" t="str">
        <x:v>这个技能主要用于作业批改与形成性反馈。它可以帮助使用者生成具体、可执行的学习反馈、检查课程或教学材料质量、按标准检查学生作业、指出问题并解释原因。</x:v>
      </x:c>
      <x:c r="F5" s="17" t="str">
        <x:v>教师、助教、学生</x:v>
      </x:c>
      <x:c r="G5" s="17" t="str">
        <x:v>需要依据明确标准检查学生作业并形成可操作的改进意见时</x:v>
      </x:c>
      <x:c r="H5" s="17" t="str">
        <x:v>去标识的学生作业、题目要求、评分标准和课程目标</x:v>
      </x:c>
      <x:c r="I5" s="17" t="str">
        <x:v>批改建议、错误说明、形成性反馈、修改方向和供教师确认的分数建议</x:v>
      </x:c>
      <x:c r="J5" s="19" t="str">
        <x:v>需要重新改造</x:v>
      </x:c>
      <x:c r="K5" s="19" t="str">
        <x:v>SB-A</x:v>
      </x:c>
      <x:c r="L5" s="17" t="str">
        <x:v>安全等级 SB-A：原包含需要删减或重写的网络、数据、自动决定或权限步骤；正式库只能收录明确列出改造要求的适配方案。</x:v>
      </x:c>
      <x:c r="M5" s="17" t="str">
        <x:v>CC-BY-SA-4.0</x:v>
      </x:c>
      <x:c r="N5" s="17" t="str">
        <x:v>GitHub 固定提交版本</x:v>
      </x:c>
      <x:c r="O5" s="17" t="str">
        <x:v>GarethManning</x:v>
      </x:c>
      <x:c r="P5" s="17" t="str">
        <x:v>GarethManning/education-agent-skills</x:v>
      </x:c>
      <x:c r="Q5" s="19" t="str">
        <x:v>34702c1c1465389192e760e5faa4476d234f9122</x:v>
      </x:c>
      <x:c r="R5" s="19" t="str">
        <x:v>2026-08-09</x:v>
      </x:c>
      <x:c r="S5" s="17" t="str">
        <x:v>https://github.com/GarethManning/education-agent-skills/blob/34702c1c1465389192e760e5faa4476d234f9122/skills/ai-learning-science/ai-feedback-design-principles/SKILL.md</x:v>
      </x:c>
    </x:row>
    <x:row r="6" ht="64" customHeight="1">
      <x:c r="A6" s="18" t="n">
        <x:v>2</x:v>
      </x:c>
      <x:c r="B6" s="18" t="str">
        <x:v>FD-06-0169</x:v>
      </x:c>
      <x:c r="C6" s="17" t="str">
        <x:v>Explain-First Interrogator</x:v>
      </x:c>
      <x:c r="D6" s="17" t="str">
        <x:v>06-06 作业批改与形成性反馈</x:v>
      </x:c>
      <x:c r="E6" s="17" t="str">
        <x:v>这个技能主要用于作业批改与形成性反馈。它可以帮助使用者按标准检查学生作业、指出问题并解释原因、提供下一步改进建议。</x:v>
      </x:c>
      <x:c r="F6" s="17" t="str">
        <x:v>教师、助教、学生</x:v>
      </x:c>
      <x:c r="G6" s="17" t="str">
        <x:v>需要依据明确标准检查学生作业并形成可操作的改进意见时</x:v>
      </x:c>
      <x:c r="H6" s="17" t="str">
        <x:v>去标识的学生作业、题目要求、评分标准和课程目标</x:v>
      </x:c>
      <x:c r="I6" s="17" t="str">
        <x:v>批改建议、错误说明、形成性反馈、修改方向和供教师确认的分数建议</x:v>
      </x:c>
      <x:c r="J6" s="19" t="str">
        <x:v>需要重新改造</x:v>
      </x:c>
      <x:c r="K6" s="19" t="str">
        <x:v>SB-A</x:v>
      </x:c>
      <x:c r="L6" s="17" t="str">
        <x:v>安全等级 SB-A：原包含需要删减或重写的网络、数据、自动决定或权限步骤；正式库只能收录明确列出改造要求的适配方案。</x:v>
      </x:c>
      <x:c r="M6" s="17" t="str">
        <x:v>CC-BY-SA-4.0</x:v>
      </x:c>
      <x:c r="N6" s="17" t="str">
        <x:v>GitHub 固定提交版本</x:v>
      </x:c>
      <x:c r="O6" s="17" t="str">
        <x:v>GarethManning</x:v>
      </x:c>
      <x:c r="P6" s="17" t="str">
        <x:v>GarethManning/education-agent-skills</x:v>
      </x:c>
      <x:c r="Q6" s="19" t="str">
        <x:v>34702c1c1465389192e760e5faa4476d234f9122</x:v>
      </x:c>
      <x:c r="R6" s="19" t="str">
        <x:v>2026-08-09</x:v>
      </x:c>
      <x:c r="S6" s="17" t="str">
        <x:v>https://github.com/GarethManning/education-agent-skills/blob/34702c1c1465389192e760e5faa4476d234f9122/skills/student-learning/explain-first-interrogator/SKILL.md</x:v>
      </x:c>
    </x:row>
    <x:row r="7" ht="64" customHeight="1">
      <x:c r="A7" s="18" t="n">
        <x:v>3</x:v>
      </x:c>
      <x:c r="B7" s="18" t="str">
        <x:v>FD-06-0170</x:v>
      </x:c>
      <x:c r="C7" s="17" t="str">
        <x:v>Feedback Quality Analyser &amp; Rewriter</x:v>
      </x:c>
      <x:c r="D7" s="17" t="str">
        <x:v>06-06 作业批改与形成性反馈</x:v>
      </x:c>
      <x:c r="E7" s="17" t="str">
        <x:v>这个技能主要用于作业批改与形成性反馈。它可以帮助使用者生成具体、可执行的学习反馈、检查课程或教学材料质量、按标准检查学生作业、指出问题并解释原因。</x:v>
      </x:c>
      <x:c r="F7" s="17" t="str">
        <x:v>教师、助教、学生</x:v>
      </x:c>
      <x:c r="G7" s="17" t="str">
        <x:v>需要依据明确标准检查学生作业并形成可操作的改进意见时</x:v>
      </x:c>
      <x:c r="H7" s="17" t="str">
        <x:v>去标识的学生作业、题目要求、评分标准和课程目标</x:v>
      </x:c>
      <x:c r="I7" s="17" t="str">
        <x:v>批改建议、错误说明、形成性反馈、修改方向和供教师确认的分数建议</x:v>
      </x:c>
      <x:c r="J7" s="19" t="str">
        <x:v>需要重新改造</x:v>
      </x:c>
      <x:c r="K7" s="19" t="str">
        <x:v>SB-A</x:v>
      </x:c>
      <x:c r="L7" s="17" t="str">
        <x:v>安全等级 SB-A：原包含需要删减或重写的网络、数据、自动决定或权限步骤；正式库只能收录明确列出改造要求的适配方案。</x:v>
      </x:c>
      <x:c r="M7" s="17" t="str">
        <x:v>CC-BY-SA-4.0</x:v>
      </x:c>
      <x:c r="N7" s="17" t="str">
        <x:v>GitHub 固定提交版本</x:v>
      </x:c>
      <x:c r="O7" s="17" t="str">
        <x:v>GarethManning</x:v>
      </x:c>
      <x:c r="P7" s="17" t="str">
        <x:v>GarethManning/education-agent-skills</x:v>
      </x:c>
      <x:c r="Q7" s="19" t="str">
        <x:v>34702c1c1465389192e760e5faa4476d234f9122</x:v>
      </x:c>
      <x:c r="R7" s="19" t="str">
        <x:v>2026-08-09</x:v>
      </x:c>
      <x:c r="S7" s="17" t="str">
        <x:v>https://github.com/GarethManning/education-agent-skills/blob/34702c1c1465389192e760e5faa4476d234f9122/skills/memory-learning-science/feedback-quality-analyser/SKILL.md</x:v>
      </x:c>
    </x:row>
    <x:row r="8" ht="64" customHeight="1">
      <x:c r="A8" s="18" t="n">
        <x:v>4</x:v>
      </x:c>
      <x:c r="B8" s="18" t="str">
        <x:v>FD-06-0171</x:v>
      </x:c>
      <x:c r="C8" s="17" t="str">
        <x:v>feedback-pedagogy</x:v>
      </x:c>
      <x:c r="D8" s="17" t="str">
        <x:v>06-06 作业批改与形成性反馈</x:v>
      </x:c>
      <x:c r="E8" s="17" t="str">
        <x:v>这个技能主要用于作业批改与形成性反馈。它可以帮助使用者按标准检查作业并提出分数建议、生成具体、可执行的学习反馈、设计或使用评分量规、准备同行评审或审稿意见。</x:v>
      </x:c>
      <x:c r="F8" s="17" t="str">
        <x:v>教师、助教、学生</x:v>
      </x:c>
      <x:c r="G8" s="17" t="str">
        <x:v>需要依据明确标准检查学生作业并形成可操作的改进意见时</x:v>
      </x:c>
      <x:c r="H8" s="17" t="str">
        <x:v>去标识的学生作业、题目要求、评分标准和课程目标</x:v>
      </x:c>
      <x:c r="I8" s="17" t="str">
        <x:v>批改建议、错误说明、形成性反馈、修改方向和供教师确认的分数建议</x:v>
      </x:c>
      <x:c r="J8" s="19" t="str">
        <x:v>需要重新改造</x:v>
      </x:c>
      <x:c r="K8" s="19" t="str">
        <x:v>SB-A</x:v>
      </x:c>
      <x:c r="L8" s="17" t="str">
        <x:v>安全等级 SB-A：原包含需要删减或重写的网络、数据、自动决定或权限步骤；正式库只能收录明确列出改造要求的适配方案。</x:v>
      </x:c>
      <x:c r="M8" s="17" t="str">
        <x:v>MIT</x:v>
      </x:c>
      <x:c r="N8" s="17" t="str">
        <x:v>GitHub 固定提交版本</x:v>
      </x:c>
      <x:c r="O8" s="17" t="str">
        <x:v>organvm-iv-taxis</x:v>
      </x:c>
      <x:c r="P8" s="17" t="str">
        <x:v>organvm-iv-taxis/a-i--skills</x:v>
      </x:c>
      <x:c r="Q8" s="19" t="str">
        <x:v>1d929d47cf56e3c72b7b145f110188972a4c8ae3</x:v>
      </x:c>
      <x:c r="R8" s="19" t="str">
        <x:v>2026-08-09</x:v>
      </x:c>
      <x:c r="S8" s="17" t="str">
        <x:v>https://github.com/organvm-iv-taxis/a-i--skills/blob/1d929d47cf56e3c72b7b145f110188972a4c8ae3/skills/education/feedback-pedagogy/SKILL.md</x:v>
      </x:c>
    </x:row>
    <x:row r="9" ht="64" customHeight="1">
      <x:c r="A9" s="18" t="n">
        <x:v>5</x:v>
      </x:c>
      <x:c r="B9" s="18" t="str">
        <x:v>FD-06-0172</x:v>
      </x:c>
      <x:c r="C9" s="17" t="str">
        <x:v>Formative Assessment Loop Designer for AI Systems</x:v>
      </x:c>
      <x:c r="D9" s="17" t="str">
        <x:v>06-06 作业批改与形成性反馈</x:v>
      </x:c>
      <x:c r="E9" s="17" t="str">
        <x:v>这个技能主要用于作业批改与形成性反馈。它可以帮助使用者设计形成性练习和掌握度检查、按学生差异调整内容和支持、检查格式、引文和参考文献、按标准检查学生作业。</x:v>
      </x:c>
      <x:c r="F9" s="17" t="str">
        <x:v>教师、助教、学生</x:v>
      </x:c>
      <x:c r="G9" s="17" t="str">
        <x:v>需要依据明确标准检查学生作业并形成可操作的改进意见时</x:v>
      </x:c>
      <x:c r="H9" s="17" t="str">
        <x:v>去标识的学生作业、题目要求、评分标准和课程目标</x:v>
      </x:c>
      <x:c r="I9" s="17" t="str">
        <x:v>批改建议、错误说明、形成性反馈、修改方向和供教师确认的分数建议</x:v>
      </x:c>
      <x:c r="J9" s="19" t="str">
        <x:v>需要重新改造</x:v>
      </x:c>
      <x:c r="K9" s="19" t="str">
        <x:v>SB-A</x:v>
      </x:c>
      <x:c r="L9" s="17" t="str">
        <x:v>安全等级 SB-A：原包含需要删减或重写的网络、数据、自动决定或权限步骤；正式库只能收录明确列出改造要求的适配方案。</x:v>
      </x:c>
      <x:c r="M9" s="17" t="str">
        <x:v>CC-BY-SA-4.0</x:v>
      </x:c>
      <x:c r="N9" s="17" t="str">
        <x:v>GitHub 固定提交版本</x:v>
      </x:c>
      <x:c r="O9" s="17" t="str">
        <x:v>GarethManning</x:v>
      </x:c>
      <x:c r="P9" s="17" t="str">
        <x:v>GarethManning/education-agent-skills</x:v>
      </x:c>
      <x:c r="Q9" s="19" t="str">
        <x:v>34702c1c1465389192e760e5faa4476d234f9122</x:v>
      </x:c>
      <x:c r="R9" s="19" t="str">
        <x:v>2026-08-09</x:v>
      </x:c>
      <x:c r="S9" s="17" t="str">
        <x:v>https://github.com/GarethManning/education-agent-skills/blob/34702c1c1465389192e760e5faa4476d234f9122/skills/ai-learning-science/formative-assessment-loop-designer/SKILL.md</x:v>
      </x:c>
    </x:row>
    <x:row r="10" ht="64" customHeight="1">
      <x:c r="A10" s="18" t="n">
        <x:v>6</x:v>
      </x:c>
      <x:c r="B10" s="18" t="str">
        <x:v>FD-06-0173</x:v>
      </x:c>
      <x:c r="C10" s="17" t="str">
        <x:v>grading-overview</x:v>
      </x:c>
      <x:c r="D10" s="17" t="str">
        <x:v>06-06 作业批改与形成性反馈</x:v>
      </x:c>
      <x:c r="E10" s="17" t="str">
        <x:v>这个技能主要用于作业批改与形成性反馈。它可以帮助使用者按标准检查作业并提出分数建议、检查统计分析和结果解释、按标准检查学生作业、指出问题并解释原因。</x:v>
      </x:c>
      <x:c r="F10" s="17" t="str">
        <x:v>教师、助教、学生</x:v>
      </x:c>
      <x:c r="G10" s="17" t="str">
        <x:v>需要依据明确标准检查学生作业并形成可操作的改进意见时</x:v>
      </x:c>
      <x:c r="H10" s="17" t="str">
        <x:v>去标识的学生作业、题目要求、评分标准和课程目标</x:v>
      </x:c>
      <x:c r="I10" s="17" t="str">
        <x:v>批改建议、错误说明、形成性反馈、修改方向和供教师确认的分数建议</x:v>
      </x:c>
      <x:c r="J10" s="19" t="str">
        <x:v>需要重新改造</x:v>
      </x:c>
      <x:c r="K10" s="19" t="str">
        <x:v>SB-A</x:v>
      </x:c>
      <x:c r="L10" s="17" t="str">
        <x:v>安全等级 SB-A：原包含需要删减或重写的网络、数据、自动决定或权限步骤；正式库只能收录明确列出改造要求的适配方案。</x:v>
      </x:c>
      <x:c r="M10" s="17" t="str">
        <x:v>MIT</x:v>
      </x:c>
      <x:c r="N10" s="17" t="str">
        <x:v>GitHub 固定提交版本</x:v>
      </x:c>
      <x:c r="O10" s="17" t="str">
        <x:v>francojc</x:v>
      </x:c>
      <x:c r="P10" s="17" t="str">
        <x:v>francojc/dauber</x:v>
      </x:c>
      <x:c r="Q10" s="19" t="str">
        <x:v>cc790c4041f97cf8bb986a0f34e142083c477366</x:v>
      </x:c>
      <x:c r="R10" s="19" t="str">
        <x:v>2026-08-09</x:v>
      </x:c>
      <x:c r="S10" s="17" t="str">
        <x:v>https://github.com/francojc/dauber/blob/cc790c4041f97cf8bb986a0f34e142083c477366/.pi/skills/grading-overview/SKILL.md</x:v>
      </x:c>
    </x:row>
    <x:row r="11" ht="64" customHeight="1">
      <x:c r="A11" s="18" t="n">
        <x:v>7</x:v>
      </x:c>
      <x:c r="B11" s="18" t="str">
        <x:v>FD-06-0174</x:v>
      </x:c>
      <x:c r="C11" s="17" t="str">
        <x:v>lowrollr/essay_grader</x:v>
      </x:c>
      <x:c r="D11" s="17" t="str">
        <x:v>06-06 作业批改与形成性反馈</x:v>
      </x:c>
      <x:c r="E11" s="17" t="str">
        <x:v>这个技能主要用于作业批改与形成性反馈。它可以帮助使用者生成练习题或测验题、按标准检查作业并提出分数建议、设计或使用评分量规、按标准检查学生作业。</x:v>
      </x:c>
      <x:c r="F11" s="17" t="str">
        <x:v>教师、助教、学生</x:v>
      </x:c>
      <x:c r="G11" s="17" t="str">
        <x:v>需要依据明确标准检查学生作业并形成可操作的改进意见时</x:v>
      </x:c>
      <x:c r="H11" s="17" t="str">
        <x:v>去标识的学生作业、题目要求、评分标准和课程目标</x:v>
      </x:c>
      <x:c r="I11" s="17" t="str">
        <x:v>批改建议、错误说明、形成性反馈、修改方向和供教师确认的分数建议</x:v>
      </x:c>
      <x:c r="J11" s="19" t="str">
        <x:v>需要重新改造</x:v>
      </x:c>
      <x:c r="K11" s="19" t="str">
        <x:v>SB-A</x:v>
      </x:c>
      <x:c r="L11" s="17" t="str">
        <x:v>安全等级 SB-A：原包含需要删减或重写的网络、数据、自动决定或权限步骤；正式库只能收录明确列出改造要求的适配方案。</x:v>
      </x:c>
      <x:c r="M11" s="17" t="str">
        <x:v>Apache-2.0</x:v>
      </x:c>
      <x:c r="N11" s="17" t="str">
        <x:v>Hugging Face Space 固定版本</x:v>
      </x:c>
      <x:c r="O11" s="17" t="str">
        <x:v>lowrollr</x:v>
      </x:c>
      <x:c r="P11" s="17" t="str">
        <x:v>huggingface.co/spaces/lowrollr/essay_grader</x:v>
      </x:c>
      <x:c r="Q11" s="19" t="str">
        <x:v>ef1a205add5a88fa84d26840e9c1d60fdb61445f</x:v>
      </x:c>
      <x:c r="R11" s="19" t="str">
        <x:v>2026-08-09</x:v>
      </x:c>
      <x:c r="S11" s="17" t="str">
        <x:v>https://huggingface.co/spaces/lowrollr/essay_grader/tree/ef1a205add5a88fa84d26840e9c1d60fdb61445f</x:v>
      </x:c>
    </x:row>
    <x:row r="12" ht="64" customHeight="1">
      <x:c r="A12" s="18" t="n">
        <x:v>8</x:v>
      </x:c>
      <x:c r="B12" s="18" t="str">
        <x:v>FD-06-0175</x:v>
      </x:c>
      <x:c r="C12" s="17" t="str">
        <x:v>moodle</x:v>
      </x:c>
      <x:c r="D12" s="17" t="str">
        <x:v>06-06 作业批改与形成性反馈</x:v>
      </x:c>
      <x:c r="E12" s="17" t="str">
        <x:v>这个技能主要用于作业批改与形成性反馈。它可以帮助使用者生成练习题或测验题、按标准检查作业并提出分数建议、按标准检查学生作业、指出问题并解释原因。</x:v>
      </x:c>
      <x:c r="F12" s="17" t="str">
        <x:v>教师、助教、学生</x:v>
      </x:c>
      <x:c r="G12" s="17" t="str">
        <x:v>需要依据明确标准检查学生作业并形成可操作的改进意见时</x:v>
      </x:c>
      <x:c r="H12" s="17" t="str">
        <x:v>去标识的学生作业、题目要求、评分标准和课程目标</x:v>
      </x:c>
      <x:c r="I12" s="17" t="str">
        <x:v>批改建议、错误说明、形成性反馈、修改方向和供教师确认的分数建议</x:v>
      </x:c>
      <x:c r="J12" s="19" t="str">
        <x:v>需要重新改造</x:v>
      </x:c>
      <x:c r="K12" s="19" t="str">
        <x:v>SB-A</x:v>
      </x:c>
      <x:c r="L12" s="17" t="str">
        <x:v>安全等级 SB-A：原包含需要删减或重写的网络、数据、自动决定或权限步骤；正式库只能收录明确列出改造要求的适配方案。</x:v>
      </x:c>
      <x:c r="M12" s="17" t="str">
        <x:v>MIT</x:v>
      </x:c>
      <x:c r="N12" s="17" t="str">
        <x:v>GitHub 固定提交版本</x:v>
      </x:c>
      <x:c r="O12" s="17" t="str">
        <x:v>rudini</x:v>
      </x:c>
      <x:c r="P12" s="17" t="str">
        <x:v>rudini/claude-edu-plugins</x:v>
      </x:c>
      <x:c r="Q12" s="19" t="str">
        <x:v>18c33fa8796dda66a822a39cefd733a645fcae52</x:v>
      </x:c>
      <x:c r="R12" s="19" t="str">
        <x:v>2026-08-09</x:v>
      </x:c>
      <x:c r="S12" s="17" t="str">
        <x:v>https://github.com/rudini/claude-edu-plugins/blob/18c33fa8796dda66a822a39cefd733a645fcae52/plugins/moodle-skill/skills/moodle/SKILL.md</x:v>
      </x:c>
    </x:row>
    <x:row r="13" ht="64" customHeight="1">
      <x:c r="A13" s="18" t="n">
        <x:v>9</x:v>
      </x:c>
      <x:c r="B13" s="18" t="str">
        <x:v>FD-06-0176</x:v>
      </x:c>
      <x:c r="C13" s="17" t="str">
        <x:v>ntucool</x:v>
      </x:c>
      <x:c r="D13" s="17" t="str">
        <x:v>06-06 作业批改与形成性反馈</x:v>
      </x:c>
      <x:c r="E13" s="17" t="str">
        <x:v>这个技能主要用于作业批改与形成性反馈。它可以帮助使用者整理讲义、教材或学习指南、按标准检查作业并提出分数建议、按标准检查学生作业、指出问题并解释原因。</x:v>
      </x:c>
      <x:c r="F13" s="17" t="str">
        <x:v>教师、助教、学生</x:v>
      </x:c>
      <x:c r="G13" s="17" t="str">
        <x:v>需要依据明确标准检查学生作业并形成可操作的改进意见时</x:v>
      </x:c>
      <x:c r="H13" s="17" t="str">
        <x:v>去标识的学生作业、题目要求、评分标准和课程目标</x:v>
      </x:c>
      <x:c r="I13" s="17" t="str">
        <x:v>批改建议、错误说明、形成性反馈、修改方向和供教师确认的分数建议</x:v>
      </x:c>
      <x:c r="J13" s="19" t="str">
        <x:v>需要重新改造</x:v>
      </x:c>
      <x:c r="K13" s="19" t="str">
        <x:v>SB-A</x:v>
      </x:c>
      <x:c r="L13" s="17" t="str">
        <x:v>安全等级 SB-A：原包含需要删减或重写的网络、数据、自动决定或权限步骤；正式库只能收录明确列出改造要求的适配方案。</x:v>
      </x:c>
      <x:c r="M13" s="17" t="str">
        <x:v>MIT</x:v>
      </x:c>
      <x:c r="N13" s="17" t="str">
        <x:v>GitHub 固定提交版本</x:v>
      </x:c>
      <x:c r="O13" s="17" t="str">
        <x:v>kc0506</x:v>
      </x:c>
      <x:c r="P13" s="17" t="str">
        <x:v>kc0506/ntucool</x:v>
      </x:c>
      <x:c r="Q13" s="19" t="str">
        <x:v>1be1d94bc51f34ec2dc607f4799060938a654fcb</x:v>
      </x:c>
      <x:c r="R13" s="19" t="str">
        <x:v>2026-08-09</x:v>
      </x:c>
      <x:c r="S13" s="17" t="str">
        <x:v>https://github.com/kc0506/ntucool/blob/1be1d94bc51f34ec2dc607f4799060938a654fcb/plugins/ntucool/skills/ntucool/SKILL.md</x:v>
      </x:c>
    </x:row>
    <x:row r="14" ht="64" customHeight="1">
      <x:c r="A14" s="18" t="n">
        <x:v>10</x:v>
      </x:c>
      <x:c r="B14" s="18" t="str">
        <x:v>FD-06-0177</x:v>
      </x:c>
      <x:c r="C14" s="17" t="str">
        <x:v>socratic-tutor</x:v>
      </x:c>
      <x:c r="D14" s="17" t="str">
        <x:v>06-06 作业批改与形成性反馈</x:v>
      </x:c>
      <x:c r="E14" s="17" t="str">
        <x:v>这个技能主要用于作业批改与形成性反馈。它可以帮助使用者准备讨论、提问或辩论活动、生成练习题或测验题、设计考试或终结性评价、按标准检查作业并提出分数建议。</x:v>
      </x:c>
      <x:c r="F14" s="17" t="str">
        <x:v>教师、助教、学生</x:v>
      </x:c>
      <x:c r="G14" s="17" t="str">
        <x:v>需要依据明确标准检查学生作业并形成可操作的改进意见时</x:v>
      </x:c>
      <x:c r="H14" s="17" t="str">
        <x:v>去标识的学生作业、题目要求、评分标准和课程目标</x:v>
      </x:c>
      <x:c r="I14" s="17" t="str">
        <x:v>批改建议、错误说明、形成性反馈、修改方向和供教师确认的分数建议</x:v>
      </x:c>
      <x:c r="J14" s="19" t="str">
        <x:v>可直接使用</x:v>
      </x:c>
      <x:c r="K14" s="19" t="str">
        <x:v>SA</x:v>
      </x:c>
      <x:c r="L14" s="17" t="str">
        <x:v>安全等级 SA：固定版本主要由说明、清单或模板组成，静态检查未发现账号、外部写回或可执行载荷方面的阻断性问题。</x:v>
      </x:c>
      <x:c r="M14" s="17" t="str">
        <x:v>MIT</x:v>
      </x:c>
      <x:c r="N14" s="17" t="str">
        <x:v>GitHub 固定提交版本</x:v>
      </x:c>
      <x:c r="O14" s="17" t="str">
        <x:v>Jellypod-Inc</x:v>
      </x:c>
      <x:c r="P14" s="17" t="str">
        <x:v>Jellypod-Inc/school-skills</x:v>
      </x:c>
      <x:c r="Q14" s="19" t="str">
        <x:v>cd484795e924e454caafd13ddc25c1ec76c48718</x:v>
      </x:c>
      <x:c r="R14" s="19" t="str">
        <x:v>2026-08-09</x:v>
      </x:c>
      <x:c r="S14" s="17" t="str">
        <x:v>https://github.com/Jellypod-Inc/school-skills/blob/cd484795e924e454caafd13ddc25c1ec76c48718/skills/socratic-tutor/SKILL.md</x:v>
      </x:c>
    </x:row>
    <x:row r="15" ht="64" customHeight="1">
      <x:c r="A15" s="18" t="n">
        <x:v>11</x:v>
      </x:c>
      <x:c r="B15" s="18" t="str">
        <x:v>FD-06-0178</x:v>
      </x:c>
      <x:c r="C15" s="17" t="str">
        <x:v>Stuck &amp; Error Diagnosis Coach</x:v>
      </x:c>
      <x:c r="D15" s="17" t="str">
        <x:v>06-06 作业批改与形成性反馈</x:v>
      </x:c>
      <x:c r="E15" s="17" t="str">
        <x:v>这个技能主要用于作业批改与形成性反馈。它可以帮助使用者诊断知识薄弱点和教学问题、按标准检查学生作业、指出问题并解释原因、提供下一步改进建议。</x:v>
      </x:c>
      <x:c r="F15" s="17" t="str">
        <x:v>教师、助教、学生</x:v>
      </x:c>
      <x:c r="G15" s="17" t="str">
        <x:v>需要依据明确标准检查学生作业并形成可操作的改进意见时</x:v>
      </x:c>
      <x:c r="H15" s="17" t="str">
        <x:v>去标识的学生作业、题目要求、评分标准和课程目标</x:v>
      </x:c>
      <x:c r="I15" s="17" t="str">
        <x:v>批改建议、错误说明、形成性反馈、修改方向和供教师确认的分数建议</x:v>
      </x:c>
      <x:c r="J15" s="19" t="str">
        <x:v>需要重新改造</x:v>
      </x:c>
      <x:c r="K15" s="19" t="str">
        <x:v>SB-A</x:v>
      </x:c>
      <x:c r="L15" s="17" t="str">
        <x:v>安全等级 SB-A：原包含需要删减或重写的网络、数据、自动决定或权限步骤；正式库只能收录明确列出改造要求的适配方案。</x:v>
      </x:c>
      <x:c r="M15" s="17" t="str">
        <x:v>CC-BY-SA-4.0</x:v>
      </x:c>
      <x:c r="N15" s="17" t="str">
        <x:v>GitHub 固定提交版本</x:v>
      </x:c>
      <x:c r="O15" s="17" t="str">
        <x:v>GarethManning</x:v>
      </x:c>
      <x:c r="P15" s="17" t="str">
        <x:v>GarethManning/education-agent-skills</x:v>
      </x:c>
      <x:c r="Q15" s="19" t="str">
        <x:v>34702c1c1465389192e760e5faa4476d234f9122</x:v>
      </x:c>
      <x:c r="R15" s="19" t="str">
        <x:v>2026-08-09</x:v>
      </x:c>
      <x:c r="S15" s="17" t="str">
        <x:v>https://github.com/GarethManning/education-agent-skills/blob/34702c1c1465389192e760e5faa4476d234f9122/skills/student-learning/stuck-and-error-diagnosis-coach/SKILL.md</x:v>
      </x:c>
    </x:row>
    <x:row r="16" ht="64" customHeight="1">
      <x:c r="A16" s="18" t="n">
        <x:v>12</x:v>
      </x:c>
      <x:c r="B16" s="18" t="str">
        <x:v>FD-06-0179</x:v>
      </x:c>
      <x:c r="C16" s="17" t="str">
        <x:v>student-feedback</x:v>
      </x:c>
      <x:c r="D16" s="17" t="str">
        <x:v>06-06 作业批改与形成性反馈</x:v>
      </x:c>
      <x:c r="E16" s="17" t="str">
        <x:v>这个技能主要用于作业批改与形成性反馈。它可以帮助使用者准备讨论、提问或辩论活动、生成练习题或测验题、按标准检查作业并提出分数建议、生成具体、可执行的学习反馈。</x:v>
      </x:c>
      <x:c r="F16" s="17" t="str">
        <x:v>教师、助教、学生</x:v>
      </x:c>
      <x:c r="G16" s="17" t="str">
        <x:v>需要依据明确标准检查学生作业并形成可操作的改进意见时</x:v>
      </x:c>
      <x:c r="H16" s="17" t="str">
        <x:v>去标识的学生作业、题目要求、评分标准和课程目标</x:v>
      </x:c>
      <x:c r="I16" s="17" t="str">
        <x:v>批改建议、错误说明、形成性反馈、修改方向和供教师确认的分数建议</x:v>
      </x:c>
      <x:c r="J16" s="19" t="str">
        <x:v>需要重新改造</x:v>
      </x:c>
      <x:c r="K16" s="19" t="str">
        <x:v>SB-A</x:v>
      </x:c>
      <x:c r="L16" s="17" t="str">
        <x:v>安全等级 SB-A：原包含需要删减或重写的网络、数据、自动决定或权限步骤；正式库只能收录明确列出改造要求的适配方案。</x:v>
      </x:c>
      <x:c r="M16" s="17" t="str">
        <x:v>Apache-2.0</x:v>
      </x:c>
      <x:c r="N16" s="17" t="str">
        <x:v>GitHub 固定提交版本</x:v>
      </x:c>
      <x:c r="O16" s="17" t="str">
        <x:v>FerroxLabs</x:v>
      </x:c>
      <x:c r="P16" s="17" t="str">
        <x:v>FerroxLabs/wayland</x:v>
      </x:c>
      <x:c r="Q16" s="19" t="str">
        <x:v>b3cd0511a4406d5e837db9d7e42e395c08387baf</x:v>
      </x:c>
      <x:c r="R16" s="19" t="str">
        <x:v>2026-08-09</x:v>
      </x:c>
      <x:c r="S16" s="17" t="str">
        <x:v>https://github.com/FerroxLabs/wayland/blob/b3cd0511a4406d5e837db9d7e42e395c08387baf/src/process/resources/skills-library/bodies/skills/education/student-feedback/SKILL.md</x:v>
      </x:c>
    </x:row>
    <x:row r="17" ht="64" customHeight="1">
      <x:c r="A17" s="18" t="n">
        <x:v>13</x:v>
      </x:c>
      <x:c r="B17" s="18" t="str">
        <x:v>FD-06-0180</x:v>
      </x:c>
      <x:c r="C17" s="17" t="str">
        <x:v>student-feedback</x:v>
      </x:c>
      <x:c r="D17" s="17" t="str">
        <x:v>06-06 作业批改与形成性反馈</x:v>
      </x:c>
      <x:c r="E17" s="17" t="str">
        <x:v>这个技能主要用于作业批改与形成性反馈。它可以帮助使用者按标准检查作业并提出分数建议、生成具体、可执行的学习反馈、整理课程评价和学生反馈、按标准检查学生作业。</x:v>
      </x:c>
      <x:c r="F17" s="17" t="str">
        <x:v>教师、助教、学生</x:v>
      </x:c>
      <x:c r="G17" s="17" t="str">
        <x:v>需要依据明确标准检查学生作业并形成可操作的改进意见时</x:v>
      </x:c>
      <x:c r="H17" s="17" t="str">
        <x:v>去标识的学生作业、题目要求、评分标准和课程目标</x:v>
      </x:c>
      <x:c r="I17" s="17" t="str">
        <x:v>批改建议、错误说明、形成性反馈、修改方向和供教师确认的分数建议</x:v>
      </x:c>
      <x:c r="J17" s="19" t="str">
        <x:v>需要重新改造</x:v>
      </x:c>
      <x:c r="K17" s="19" t="str">
        <x:v>SB-A</x:v>
      </x:c>
      <x:c r="L17" s="17" t="str">
        <x:v>安全等级 SB-A：原包含需要删减或重写的网络、数据、自动决定或权限步骤；正式库只能收录明确列出改造要求的适配方案。</x:v>
      </x:c>
      <x:c r="M17" s="17" t="str">
        <x:v>MIT</x:v>
      </x:c>
      <x:c r="N17" s="17" t="str">
        <x:v>GitHub 固定提交版本</x:v>
      </x:c>
      <x:c r="O17" s="17" t="str">
        <x:v>mohitagw15856</x:v>
      </x:c>
      <x:c r="P17" s="17" t="str">
        <x:v>mohitagw15856/pm-claude-skills</x:v>
      </x:c>
      <x:c r="Q17" s="19" t="str">
        <x:v>fddfbc4a6caa8b4d3d41a69c666efaaff9d42def</x:v>
      </x:c>
      <x:c r="R17" s="19" t="str">
        <x:v>2026-08-09</x:v>
      </x:c>
      <x:c r="S17" s="17" t="str">
        <x:v>https://github.com/mohitagw15856/pm-claude-skills/blob/fddfbc4a6caa8b4d3d41a69c666efaaff9d42def/plugins/pm-education/skills/student-feedback/SKILL.md</x:v>
      </x:c>
    </x:row>
    <x:row r="18" ht="64" customHeight="1">
      <x:c r="A18" s="18" t="n">
        <x:v>14</x:v>
      </x:c>
      <x:c r="B18" s="18" t="str">
        <x:v>FD-06-0181</x:v>
      </x:c>
      <x:c r="C18" s="17" t="str">
        <x:v>student-mentor</x:v>
      </x:c>
      <x:c r="D18" s="17" t="str">
        <x:v>06-06 作业批改与形成性反馈</x:v>
      </x:c>
      <x:c r="E18" s="17" t="str">
        <x:v>这个技能主要用于作业批改与形成性反馈。它可以帮助使用者安排周次、课时和教学进度、按标准检查作业并提出分数建议、生成具体、可执行的学习反馈、制作多语言或双语教学材料。</x:v>
      </x:c>
      <x:c r="F18" s="17" t="str">
        <x:v>教师、助教、学生</x:v>
      </x:c>
      <x:c r="G18" s="17" t="str">
        <x:v>需要依据明确标准检查学生作业并形成可操作的改进意见时</x:v>
      </x:c>
      <x:c r="H18" s="17" t="str">
        <x:v>去标识的学生作业、题目要求、评分标准和课程目标</x:v>
      </x:c>
      <x:c r="I18" s="17" t="str">
        <x:v>批改建议、错误说明、形成性反馈、修改方向和供教师确认的分数建议</x:v>
      </x:c>
      <x:c r="J18" s="19" t="str">
        <x:v>需要少量调整</x:v>
      </x:c>
      <x:c r="K18" s="19" t="str">
        <x:v>SB</x:v>
      </x:c>
      <x:c r="L18" s="17" t="str">
        <x:v>安全等级 SB：固定版本存在可识别的脚本、联网或受控文件操作；在限定目录、最小权限和人工确认下可作为候选采用。</x:v>
      </x:c>
      <x:c r="M18" s="17" t="str">
        <x:v>MIT</x:v>
      </x:c>
      <x:c r="N18" s="17" t="str">
        <x:v>GitHub 固定提交版本</x:v>
      </x:c>
      <x:c r="O18" s="17" t="str">
        <x:v>YujxZJCN</x:v>
      </x:c>
      <x:c r="P18" s="17" t="str">
        <x:v>YujxZJCN/teaching-skills</x:v>
      </x:c>
      <x:c r="Q18" s="19" t="str">
        <x:v>50258caf73fb0495adc725864fdf278a3072716c</x:v>
      </x:c>
      <x:c r="R18" s="19" t="str">
        <x:v>2026-08-09</x:v>
      </x:c>
      <x:c r="S18" s="17" t="str">
        <x:v>https://github.com/YujxZJCN/teaching-skills/blob/50258caf73fb0495adc725864fdf278a3072716c/student-mentor/SKILL.md</x:v>
      </x:c>
    </x:row>
    <x:row r="19" ht="64" customHeight="1">
      <x:c r="A19" s="18" t="n">
        <x:v>15</x:v>
      </x:c>
      <x:c r="B19" s="18" t="str">
        <x:v>FD-06-0182</x:v>
      </x:c>
      <x:c r="C19" s="17" t="str">
        <x:v>submission-auditor</x:v>
      </x:c>
      <x:c r="D19" s="17" t="str">
        <x:v>06-06 作业批改与形成性反馈</x:v>
      </x:c>
      <x:c r="E19" s="17" t="str">
        <x:v>这个技能主要用于作业批改与形成性反馈。它可以帮助使用者制作或整理教学课件、设计实验或实践步骤、设计项目、工作坊或课堂活动、生成具体、可执行的学习反馈。</x:v>
      </x:c>
      <x:c r="F19" s="17" t="str">
        <x:v>教师、助教、学生</x:v>
      </x:c>
      <x:c r="G19" s="17" t="str">
        <x:v>需要依据明确标准检查学生作业并形成可操作的改进意见时</x:v>
      </x:c>
      <x:c r="H19" s="17" t="str">
        <x:v>去标识的学生作业、题目要求、评分标准和课程目标</x:v>
      </x:c>
      <x:c r="I19" s="17" t="str">
        <x:v>批改建议、错误说明、形成性反馈、修改方向和供教师确认的分数建议</x:v>
      </x:c>
      <x:c r="J19" s="19" t="str">
        <x:v>可直接使用</x:v>
      </x:c>
      <x:c r="K19" s="19" t="str">
        <x:v>SA</x:v>
      </x:c>
      <x:c r="L19" s="17" t="str">
        <x:v>安全等级 SA：固定版本主要由说明、清单或模板组成，静态检查未发现账号、外部写回或可执行载荷方面的阻断性问题。</x:v>
      </x:c>
      <x:c r="M19" s="17" t="str">
        <x:v>MIT</x:v>
      </x:c>
      <x:c r="N19" s="17" t="str">
        <x:v>GitHub 固定提交版本</x:v>
      </x:c>
      <x:c r="O19" s="17" t="str">
        <x:v>YujxZJCN</x:v>
      </x:c>
      <x:c r="P19" s="17" t="str">
        <x:v>YujxZJCN/teaching-skills</x:v>
      </x:c>
      <x:c r="Q19" s="19" t="str">
        <x:v>50258caf73fb0495adc725864fdf278a3072716c</x:v>
      </x:c>
      <x:c r="R19" s="19" t="str">
        <x:v>2026-08-09</x:v>
      </x:c>
      <x:c r="S19" s="17" t="str">
        <x:v>https://github.com/YujxZJCN/teaching-skills/blob/50258caf73fb0495adc725864fdf278a3072716c/submission-auditor/SKILL.md</x:v>
      </x:c>
    </x:row>
  </x:sheetData>
  <x:mergeCells>
    <x:mergeCell ref="A1:S1"/>
    <x:mergeCell ref="A2:S2"/>
  </x:mergeCells>
  <x:conditionalFormatting sqref="K5:K19">
    <x:cfRule type="cellIs" dxfId="0" priority="1" operator="equal">
      <x:formula>"SA"</x:formula>
    </x:cfRule>
    <x:cfRule type="cellIs" dxfId="1" priority="2" operator="equal">
      <x:formula>"SB"</x:formula>
    </x:cfRule>
    <x:cfRule type="cellIs" dxfId="2" priority="3" operator="equal">
      <x:formula>"SB-A"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455aaf5a469447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  <x:col min="4" max="4" width="44" hidden="0" customWidth="1"/>
    <x:col min="5" max="5" width="12" hidden="0" customWidth="1"/>
    <x:col min="7" max="7" width="33" hidden="0" customWidth="1"/>
    <x:col min="8" max="8" width="12" hidden="0" customWidth="1"/>
    <x:col min="10" max="10" width="28" hidden="0" customWidth="1"/>
    <x:col min="11" max="11" width="12" hidden="0" customWidth="1"/>
  </x:cols>
  <x:sheetData>
    <x:row r="1" ht="36" customHeight="1">
      <x:c r="A1" s="3" t="str">
        <x:v>06-06 作业批改与形成性反馈｜分类统计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3">
      <x:c r="A3" s="8" t="str">
        <x:v>核心指标</x:v>
      </x:c>
      <x:c r="B3" s="8" t="str">
        <x:v>数量</x:v>
      </x:c>
      <x:c r="D3" s="8" t="str">
        <x:v>主要小分类</x:v>
      </x:c>
      <x:c r="E3" s="8" t="str">
        <x:v>数量</x:v>
      </x:c>
      <x:c r="G3" s="8" t="str">
        <x:v>来源平台</x:v>
      </x:c>
      <x:c r="H3" s="8" t="str">
        <x:v>数量</x:v>
      </x:c>
      <x:c r="J3" s="8" t="str">
        <x:v>许可证</x:v>
      </x:c>
      <x:c r="K3" s="8" t="str">
        <x:v>数量</x:v>
      </x:c>
    </x:row>
    <x:row r="4">
      <x:c r="A4" s="9" t="str">
        <x:v>正式技能总数</x:v>
      </x:c>
      <x:c r="B4" s="9" t="n">
        <x:f>COUNTA('AI技能清单'!$B$5:$B$19)</x:f>
        <x:v>15</x:v>
      </x:c>
      <x:c r="D4" s="9" t="str">
        <x:v>06-06 作业批改与形成性反馈</x:v>
      </x:c>
      <x:c r="E4" s="9" t="n">
        <x:f>COUNTIF('AI技能清单'!$D$5:$D$19,D4)</x:f>
        <x:v>15</x:v>
      </x:c>
      <x:c r="G4" s="9" t="str">
        <x:v>GitHub 固定提交版本</x:v>
      </x:c>
      <x:c r="H4" s="9" t="n">
        <x:f>COUNTIF('AI技能清单'!$N$5:$N$19,G4)</x:f>
        <x:v>14</x:v>
      </x:c>
      <x:c r="J4" s="9" t="str">
        <x:v>Apache-2.0</x:v>
      </x:c>
      <x:c r="K4" s="9" t="n">
        <x:f>COUNTIF('AI技能清单'!$M$5:$M$19,J4)</x:f>
        <x:v>2</x:v>
      </x:c>
    </x:row>
    <x:row r="5">
      <x:c r="A5" s="9" t="str">
        <x:v>安全等级 SA</x:v>
      </x:c>
      <x:c r="B5" s="9" t="n">
        <x:f>COUNTIF('AI技能清单'!$K$5:$K$19,"SA")</x:f>
        <x:v>2</x:v>
      </x:c>
      <x:c r="G5" s="9" t="str">
        <x:v>Hugging Face Space 固定版本</x:v>
      </x:c>
      <x:c r="H5" s="9" t="n">
        <x:f>COUNTIF('AI技能清单'!$N$5:$N$19,G5)</x:f>
        <x:v>1</x:v>
      </x:c>
      <x:c r="J5" s="9" t="str">
        <x:v>CC-BY-SA-4.0</x:v>
      </x:c>
      <x:c r="K5" s="9" t="n">
        <x:f>COUNTIF('AI技能清单'!$M$5:$M$19,J5)</x:f>
        <x:v>5</x:v>
      </x:c>
    </x:row>
    <x:row r="6">
      <x:c r="A6" s="9" t="str">
        <x:v>安全等级 SB</x:v>
      </x:c>
      <x:c r="B6" s="9" t="n">
        <x:f>COUNTIF('AI技能清单'!$K$5:$K$19,"SB")</x:f>
        <x:v>1</x:v>
      </x:c>
      <x:c r="J6" s="9" t="str">
        <x:v>MIT</x:v>
      </x:c>
      <x:c r="K6" s="9" t="n">
        <x:f>COUNTIF('AI技能清单'!$M$5:$M$19,J6)</x:f>
        <x:v>8</x:v>
      </x:c>
    </x:row>
    <x:row r="7">
      <x:c r="A7" s="9" t="str">
        <x:v>安全等级 SB-A</x:v>
      </x:c>
      <x:c r="B7" s="9" t="n">
        <x:f>COUNTIF('AI技能清单'!$K$5:$K$19,"SB-A")</x:f>
        <x:v>12</x:v>
      </x:c>
    </x:row>
    <x:row r="8">
      <x:c r="A8" s="9" t="str">
        <x:v>可直接使用</x:v>
      </x:c>
      <x:c r="B8" s="9" t="n">
        <x:f>COUNTIF('AI技能清单'!$J$5:$J$19,"可直接使用")</x:f>
        <x:v>2</x:v>
      </x:c>
    </x:row>
    <x:row r="9">
      <x:c r="A9" s="9" t="str">
        <x:v>需要少量调整</x:v>
      </x:c>
      <x:c r="B9" s="9" t="n">
        <x:f>COUNTIF('AI技能清单'!$J$5:$J$19,"需要少量调整")</x:f>
        <x:v>1</x:v>
      </x:c>
    </x:row>
    <x:row r="10">
      <x:c r="A10" s="9" t="str">
        <x:v>需要重新改造</x:v>
      </x:c>
      <x:c r="B10" s="9" t="n">
        <x:f>COUNTIF('AI技能清单'!$J$5:$J$19,"需要重新改造")</x:f>
        <x:v>12</x:v>
      </x:c>
    </x:row>
  </x:sheetData>
  <x:mergeCells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7" hidden="0" customWidth="1"/>
    <x:col min="3" max="3" width="22" hidden="0" customWidth="1"/>
    <x:col min="4" max="4" width="22" hidden="0" customWidth="1"/>
    <x:col min="5" max="5" width="15" hidden="0" customWidth="1"/>
    <x:col min="6" max="6" width="15" hidden="0" customWidth="1"/>
    <x:col min="7" max="7" width="18" hidden="0" customWidth="1"/>
    <x:col min="8" max="8" width="58" hidden="0" customWidth="1"/>
  </x:cols>
  <x:sheetData>
    <x:row r="1" ht="36" customHeight="1">
      <x:c r="A1" s="3" t="str">
        <x:v>06-06 作业批改与形成性反馈｜公开来源清单</x:v>
      </x:c>
      <x:c r="B1" s="3"/>
      <x:c r="C1" s="3"/>
      <x:c r="D1" s="3"/>
      <x:c r="E1" s="3"/>
      <x:c r="F1" s="3"/>
      <x:c r="G1" s="3"/>
      <x:c r="H1" s="3"/>
    </x:row>
    <x:row r="2">
      <x:c r="A2" s="5" t="str">
        <x:v>同一来源可能包含多个技能；正式技能数由 AI技能清单自动统计。</x:v>
      </x:c>
      <x:c r="B2" s="5"/>
      <x:c r="C2" s="5"/>
      <x:c r="D2" s="5"/>
      <x:c r="E2" s="5"/>
      <x:c r="F2" s="5"/>
      <x:c r="G2" s="5"/>
      <x:c r="H2" s="5"/>
    </x:row>
    <x:row r="4">
      <x:c r="A4" s="14" t="str">
        <x:v>来源项目</x:v>
      </x:c>
      <x:c r="B4" s="14" t="str">
        <x:v>来源平台</x:v>
      </x:c>
      <x:c r="C4" s="14" t="str">
        <x:v>维护者</x:v>
      </x:c>
      <x:c r="D4" s="14" t="str">
        <x:v>许可证</x:v>
      </x:c>
      <x:c r="E4" s="14" t="str">
        <x:v>固定版本数</x:v>
      </x:c>
      <x:c r="F4" s="14" t="str">
        <x:v>正式技能数</x:v>
      </x:c>
      <x:c r="G4" s="14" t="str">
        <x:v>安全等级</x:v>
      </x:c>
      <x:c r="H4" s="14" t="str">
        <x:v>示例地址</x:v>
      </x:c>
    </x:row>
    <x:row r="5">
      <x:c r="A5" s="17" t="str">
        <x:v>FerroxLabs/wayland</x:v>
      </x:c>
      <x:c r="B5" s="17" t="str">
        <x:v>GitHub 固定提交版本</x:v>
      </x:c>
      <x:c r="C5" s="17" t="str">
        <x:v>FerroxLabs</x:v>
      </x:c>
      <x:c r="D5" s="17" t="str">
        <x:v>Apache-2.0</x:v>
      </x:c>
      <x:c r="E5" s="19" t="n">
        <x:v>1</x:v>
      </x:c>
      <x:c r="F5" s="19" t="n">
        <x:f>COUNTIF('AI技能清单'!$P$5:$P$19,A5)</x:f>
        <x:v>1</x:v>
      </x:c>
      <x:c r="G5" s="19" t="str">
        <x:v>SB-A</x:v>
      </x:c>
      <x:c r="H5" s="17" t="str">
        <x:v>https://github.com/FerroxLabs/wayland/blob/b3cd0511a4406d5e837db9d7e42e395c08387baf/src/process/resources/skills-library/bodies/skills/education/student-feedback/SKILL.md</x:v>
      </x:c>
    </x:row>
    <x:row r="6">
      <x:c r="A6" s="17" t="str">
        <x:v>francojc/dauber</x:v>
      </x:c>
      <x:c r="B6" s="17" t="str">
        <x:v>GitHub 固定提交版本</x:v>
      </x:c>
      <x:c r="C6" s="17" t="str">
        <x:v>francojc</x:v>
      </x:c>
      <x:c r="D6" s="17" t="str">
        <x:v>MIT</x:v>
      </x:c>
      <x:c r="E6" s="19" t="n">
        <x:v>1</x:v>
      </x:c>
      <x:c r="F6" s="19" t="n">
        <x:f>COUNTIF('AI技能清单'!$P$5:$P$19,A6)</x:f>
        <x:v>1</x:v>
      </x:c>
      <x:c r="G6" s="19" t="str">
        <x:v>SB-A</x:v>
      </x:c>
      <x:c r="H6" s="17" t="str">
        <x:v>https://github.com/francojc/dauber/blob/cc790c4041f97cf8bb986a0f34e142083c477366/.pi/skills/grading-overview/SKILL.md</x:v>
      </x:c>
    </x:row>
    <x:row r="7">
      <x:c r="A7" s="17" t="str">
        <x:v>GarethManning/education-agent-skills</x:v>
      </x:c>
      <x:c r="B7" s="17" t="str">
        <x:v>GitHub 固定提交版本</x:v>
      </x:c>
      <x:c r="C7" s="17" t="str">
        <x:v>GarethManning</x:v>
      </x:c>
      <x:c r="D7" s="17" t="str">
        <x:v>CC-BY-SA-4.0</x:v>
      </x:c>
      <x:c r="E7" s="19" t="n">
        <x:v>1</x:v>
      </x:c>
      <x:c r="F7" s="19" t="n">
        <x:f>COUNTIF('AI技能清单'!$P$5:$P$19,A7)</x:f>
        <x:v>5</x:v>
      </x:c>
      <x:c r="G7" s="19" t="str">
        <x:v>SB-A</x:v>
      </x:c>
      <x:c r="H7" s="17" t="str">
        <x:v>https://github.com/GarethManning/education-agent-skills/blob/34702c1c1465389192e760e5faa4476d234f9122/skills/ai-learning-science/ai-feedback-design-principles/SKILL.md</x:v>
      </x:c>
    </x:row>
    <x:row r="8">
      <x:c r="A8" s="17" t="str">
        <x:v>huggingface.co/spaces/lowrollr/essay_grader</x:v>
      </x:c>
      <x:c r="B8" s="17" t="str">
        <x:v>Hugging Face Space 固定版本</x:v>
      </x:c>
      <x:c r="C8" s="17" t="str">
        <x:v>lowrollr</x:v>
      </x:c>
      <x:c r="D8" s="17" t="str">
        <x:v>Apache-2.0</x:v>
      </x:c>
      <x:c r="E8" s="19" t="n">
        <x:v>1</x:v>
      </x:c>
      <x:c r="F8" s="19" t="n">
        <x:f>COUNTIF('AI技能清单'!$P$5:$P$19,A8)</x:f>
        <x:v>1</x:v>
      </x:c>
      <x:c r="G8" s="19" t="str">
        <x:v>SB-A</x:v>
      </x:c>
      <x:c r="H8" s="17" t="str">
        <x:v>https://huggingface.co/spaces/lowrollr/essay_grader/tree/ef1a205add5a88fa84d26840e9c1d60fdb61445f</x:v>
      </x:c>
    </x:row>
    <x:row r="9">
      <x:c r="A9" s="17" t="str">
        <x:v>Jellypod-Inc/school-skills</x:v>
      </x:c>
      <x:c r="B9" s="17" t="str">
        <x:v>GitHub 固定提交版本</x:v>
      </x:c>
      <x:c r="C9" s="17" t="str">
        <x:v>Jellypod-Inc</x:v>
      </x:c>
      <x:c r="D9" s="17" t="str">
        <x:v>MIT</x:v>
      </x:c>
      <x:c r="E9" s="19" t="n">
        <x:v>1</x:v>
      </x:c>
      <x:c r="F9" s="19" t="n">
        <x:f>COUNTIF('AI技能清单'!$P$5:$P$19,A9)</x:f>
        <x:v>1</x:v>
      </x:c>
      <x:c r="G9" s="19" t="str">
        <x:v>SA</x:v>
      </x:c>
      <x:c r="H9" s="17" t="str">
        <x:v>https://github.com/Jellypod-Inc/school-skills/blob/cd484795e924e454caafd13ddc25c1ec76c48718/skills/socratic-tutor/SKILL.md</x:v>
      </x:c>
    </x:row>
    <x:row r="10">
      <x:c r="A10" s="17" t="str">
        <x:v>kc0506/ntucool</x:v>
      </x:c>
      <x:c r="B10" s="17" t="str">
        <x:v>GitHub 固定提交版本</x:v>
      </x:c>
      <x:c r="C10" s="17" t="str">
        <x:v>kc0506</x:v>
      </x:c>
      <x:c r="D10" s="17" t="str">
        <x:v>MIT</x:v>
      </x:c>
      <x:c r="E10" s="19" t="n">
        <x:v>1</x:v>
      </x:c>
      <x:c r="F10" s="19" t="n">
        <x:f>COUNTIF('AI技能清单'!$P$5:$P$19,A10)</x:f>
        <x:v>1</x:v>
      </x:c>
      <x:c r="G10" s="19" t="str">
        <x:v>SB-A</x:v>
      </x:c>
      <x:c r="H10" s="17" t="str">
        <x:v>https://github.com/kc0506/ntucool/blob/1be1d94bc51f34ec2dc607f4799060938a654fcb/plugins/ntucool/skills/ntucool/SKILL.md</x:v>
      </x:c>
    </x:row>
    <x:row r="11">
      <x:c r="A11" s="17" t="str">
        <x:v>mohitagw15856/pm-claude-skills</x:v>
      </x:c>
      <x:c r="B11" s="17" t="str">
        <x:v>GitHub 固定提交版本</x:v>
      </x:c>
      <x:c r="C11" s="17" t="str">
        <x:v>mohitagw15856</x:v>
      </x:c>
      <x:c r="D11" s="17" t="str">
        <x:v>MIT</x:v>
      </x:c>
      <x:c r="E11" s="19" t="n">
        <x:v>1</x:v>
      </x:c>
      <x:c r="F11" s="19" t="n">
        <x:f>COUNTIF('AI技能清单'!$P$5:$P$19,A11)</x:f>
        <x:v>1</x:v>
      </x:c>
      <x:c r="G11" s="19" t="str">
        <x:v>SB-A</x:v>
      </x:c>
      <x:c r="H11" s="17" t="str">
        <x:v>https://github.com/mohitagw15856/pm-claude-skills/blob/fddfbc4a6caa8b4d3d41a69c666efaaff9d42def/plugins/pm-education/skills/student-feedback/SKILL.md</x:v>
      </x:c>
    </x:row>
    <x:row r="12">
      <x:c r="A12" s="17" t="str">
        <x:v>organvm-iv-taxis/a-i--skills</x:v>
      </x:c>
      <x:c r="B12" s="17" t="str">
        <x:v>GitHub 固定提交版本</x:v>
      </x:c>
      <x:c r="C12" s="17" t="str">
        <x:v>organvm-iv-taxis</x:v>
      </x:c>
      <x:c r="D12" s="17" t="str">
        <x:v>MIT</x:v>
      </x:c>
      <x:c r="E12" s="19" t="n">
        <x:v>1</x:v>
      </x:c>
      <x:c r="F12" s="19" t="n">
        <x:f>COUNTIF('AI技能清单'!$P$5:$P$19,A12)</x:f>
        <x:v>1</x:v>
      </x:c>
      <x:c r="G12" s="19" t="str">
        <x:v>SB-A</x:v>
      </x:c>
      <x:c r="H12" s="17" t="str">
        <x:v>https://github.com/organvm-iv-taxis/a-i--skills/blob/1d929d47cf56e3c72b7b145f110188972a4c8ae3/skills/education/feedback-pedagogy/SKILL.md</x:v>
      </x:c>
    </x:row>
    <x:row r="13">
      <x:c r="A13" s="17" t="str">
        <x:v>rudini/claude-edu-plugins</x:v>
      </x:c>
      <x:c r="B13" s="17" t="str">
        <x:v>GitHub 固定提交版本</x:v>
      </x:c>
      <x:c r="C13" s="17" t="str">
        <x:v>rudini</x:v>
      </x:c>
      <x:c r="D13" s="17" t="str">
        <x:v>MIT</x:v>
      </x:c>
      <x:c r="E13" s="19" t="n">
        <x:v>1</x:v>
      </x:c>
      <x:c r="F13" s="19" t="n">
        <x:f>COUNTIF('AI技能清单'!$P$5:$P$19,A13)</x:f>
        <x:v>1</x:v>
      </x:c>
      <x:c r="G13" s="19" t="str">
        <x:v>SB-A</x:v>
      </x:c>
      <x:c r="H13" s="17" t="str">
        <x:v>https://github.com/rudini/claude-edu-plugins/blob/18c33fa8796dda66a822a39cefd733a645fcae52/plugins/moodle-skill/skills/moodle/SKILL.md</x:v>
      </x:c>
    </x:row>
    <x:row r="14">
      <x:c r="A14" s="17" t="str">
        <x:v>YujxZJCN/teaching-skills</x:v>
      </x:c>
      <x:c r="B14" s="17" t="str">
        <x:v>GitHub 固定提交版本</x:v>
      </x:c>
      <x:c r="C14" s="17" t="str">
        <x:v>YujxZJCN</x:v>
      </x:c>
      <x:c r="D14" s="17" t="str">
        <x:v>MIT</x:v>
      </x:c>
      <x:c r="E14" s="19" t="n">
        <x:v>1</x:v>
      </x:c>
      <x:c r="F14" s="19" t="n">
        <x:f>COUNTIF('AI技能清单'!$P$5:$P$19,A14)</x:f>
        <x:v>2</x:v>
      </x:c>
      <x:c r="G14" s="19" t="str">
        <x:v>SA、SB</x:v>
      </x:c>
      <x:c r="H14" s="17" t="str">
        <x:v>https://github.com/YujxZJCN/teaching-skills/blob/50258caf73fb0495adc725864fdf278a3072716c/student-mentor/SKILL.md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0a82555e64f463d"/>
  </x:tableParts>
</x:worksheet>
</file>