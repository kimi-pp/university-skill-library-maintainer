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81b309df24e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ac7294dc3d04180"/>
    <x:sheet xmlns:r="http://schemas.openxmlformats.org/officeDocument/2006/relationships" name="技能清单" sheetId="2" r:id="R6cd7db844ce74197"/>
    <x:sheet xmlns:r="http://schemas.openxmlformats.org/officeDocument/2006/relationships" name="专业覆盖" sheetId="3" r:id="R2236bdd122c247a6"/>
    <x:sheet xmlns:r="http://schemas.openxmlformats.org/officeDocument/2006/relationships" name="专业映射" sheetId="4" r:id="Rcb47197d17c34a05"/>
    <x:sheet xmlns:r="http://schemas.openxmlformats.org/officeDocument/2006/relationships" name="来源仓库" sheetId="5" r:id="R39e77a153a964131"/>
    <x:sheet xmlns:r="http://schemas.openxmlformats.org/officeDocument/2006/relationships" name="规则与说明" sheetId="6" r:id="R33712426505f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9"/>
      <x:color rgb="FFFFFFFF"/>
      <x:name val="Carlito"/>
    </x:font>
    <x:font>
      <x:i/>
      <x:sz val="11"/>
      <x:color rgb="FF18324A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21"/>
      <x:color rgb="FFFFFFFF"/>
      <x:name val="Carlito"/>
    </x:font>
    <x:font>
      <x:b/>
      <x:sz val="13"/>
      <x:color rgb="FFFFFFFF"/>
      <x:name val="Carlito"/>
    </x:font>
    <x:font>
      <x:b/>
      <x:sz val="22"/>
      <x:color rgb="FF18324A"/>
      <x:name val="Carlito"/>
    </x:font>
    <x:font>
      <x:b/>
      <x:sz val="11"/>
      <x:color rgb="FF536273"/>
      <x:name val="Carlito"/>
    </x:font>
    <x:font>
      <x:b/>
      <x:sz val="11"/>
      <x:color rgb="FF8A5A00"/>
      <x:name val="Carlito"/>
    </x:font>
    <x:font>
      <x:b/>
      <x:sz val="11"/>
      <x:color rgb="FF18324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8F3F4"/>
      </x:patternFill>
    </x:fill>
    <x:fill>
      <x:patternFill patternType="solid">
        <x:fgColor rgb="FF167D89"/>
      </x:patternFill>
    </x:fill>
    <x:fill>
      <x:patternFill patternType="solid">
        <x:fgColor rgb="FFEAF2F8"/>
      </x:patternFill>
    </x:fill>
    <x:fill>
      <x:patternFill patternType="solid">
        <x:fgColor rgb="FFF6F8FA"/>
      </x:patternFill>
    </x:fill>
    <x:fill>
      <x:patternFill patternType="solid">
        <x:fgColor rgb="FFFFF0C7"/>
      </x:patternFill>
    </x:fill>
  </x:fills>
  <x:borders count="2">
    <x:border/>
    <x:border>
      <x:left style="thin">
        <x:color rgb="FFC9D3DC"/>
      </x:left>
      <x:right style="thin">
        <x:color rgb="FFC9D3DC"/>
      </x:right>
      <x:top style="thin">
        <x:color rgb="FFC9D3DC"/>
      </x:top>
      <x:bottom style="thin">
        <x:color rgb="FFC9D3DC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6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8A5A00"/>
      </x:font>
      <x:fill>
        <x:patternFill patternType="solid">
          <x:bgColor rgb="FFFFF0C7"/>
        </x:patternFill>
      </x:fill>
    </x:dxf>
    <x:dxf>
      <x:font>
        <x:b/>
        <x:color rgb="FF9A3412"/>
      </x:font>
      <x:fill>
        <x:patternFill patternType="solid">
          <x:bgColor rgb="FFFBE1D1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8A5A00"/>
      </x:font>
      <x:fill>
        <x:patternFill patternType="solid">
          <x:bgColor rgb="FFFFF0C7"/>
        </x:patternFill>
      </x:fill>
    </x:dxf>
    <x:dxf>
      <x:font>
        <x:b/>
        <x:color rgb="FF9A3412"/>
      </x:font>
      <x:fill>
        <x:patternFill patternType="solid">
          <x:bgColor rgb="FFFBE1D1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2155aa94f4ce7" /><Relationship Type="http://schemas.openxmlformats.org/officeDocument/2006/relationships/theme" Target="/xl/theme/theme1.xml" Id="R46f7223549434596" /><Relationship Type="http://schemas.openxmlformats.org/officeDocument/2006/relationships/sharedStrings" Target="/xl/sharedStrings.xml" Id="R1cb19dbafebd4eb9" /><Relationship Type="http://schemas.openxmlformats.org/officeDocument/2006/relationships/worksheet" Target="/xl/worksheets/sheet1.xml" Id="R3ac7294dc3d04180" /><Relationship Type="http://schemas.openxmlformats.org/officeDocument/2006/relationships/worksheet" Target="/xl/worksheets/sheet2.xml" Id="R6cd7db844ce74197" /><Relationship Type="http://schemas.openxmlformats.org/officeDocument/2006/relationships/worksheet" Target="/xl/worksheets/sheet3.xml" Id="R2236bdd122c247a6" /><Relationship Type="http://schemas.openxmlformats.org/officeDocument/2006/relationships/worksheet" Target="/xl/worksheets/sheet4.xml" Id="Rcb47197d17c34a05" /><Relationship Type="http://schemas.openxmlformats.org/officeDocument/2006/relationships/worksheet" Target="/xl/worksheets/sheet5.xml" Id="R39e77a153a964131" /><Relationship Type="http://schemas.openxmlformats.org/officeDocument/2006/relationships/worksheet" Target="/xl/worksheets/sheet6.xml" Id="R33712426505f42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e175002223491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8e757f8dcc340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候选数量（按能力群）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'总览'!$G$10:$G$17</c:f>
              <c:strCache>
                <c:ptCount val="0"/>
              </c:strCache>
            </c:strRef>
          </c:cat>
          <c:val>
            <c:numRef>
              <c:f>'总览'!$H$10:$H$17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各专业候选覆盖量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候选数</c:v>
          </c:tx>
          <c:cat>
            <c:strRef>
              <c:f>'专业覆盖'!$B$5:$B$18</c:f>
              <c:strCache>
                <c:ptCount val="0"/>
              </c:strCache>
            </c:strRef>
          </c:cat>
          <c:val>
            <c:numRef>
              <c:f>'专业覆盖'!$C$5:$C$18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e175002223491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e757f8dcc340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uterScienceSkillTable" displayName="ComputerScienceSkillTable" ref="A4:Z92" headerRowCount="1" totalsRowCount="0" totalsRowShown="0">
  <x:tableColumns count="26">
    <x:tableColumn id="1" name="序号"/>
    <x:tableColumn id="2" name="Skill ID"/>
    <x:tableColumn id="3" name="能力群"/>
    <x:tableColumn id="4" name="中文名称"/>
    <x:tableColumn id="5" name="英文名称"/>
    <x:tableColumn id="6" name="来源平台"/>
    <x:tableColumn id="7" name="来源仓库"/>
    <x:tableColumn id="8" name="Skill地址"/>
    <x:tableColumn id="9" name="简略功能"/>
    <x:tableColumn id="10" name="覆盖专业"/>
    <x:tableColumn id="11" name="覆盖类型"/>
    <x:tableColumn id="12" name="安全等级"/>
    <x:tableColumn id="13" name="准入形式"/>
    <x:tableColumn id="14" name="执行行为"/>
    <x:tableColumn id="15" name="网络与数据行为"/>
    <x:tableColumn id="16" name="安全限制"/>
    <x:tableColumn id="17" name="适配保留"/>
    <x:tableColumn id="18" name="适配剥离"/>
    <x:tableColumn id="19" name="优先级"/>
    <x:tableColumn id="20" name="许可证"/>
    <x:tableColumn id="21" name="审查提交"/>
    <x:tableColumn id="22" name="提交日期"/>
    <x:tableColumn id="23" name="审查日期"/>
    <x:tableColumn id="24" name="包文件数"/>
    <x:tableColumn id="25" name="脚本数"/>
    <x:tableColumn id="26" name="静态验证结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uterScienceMajorMappingTable" displayName="ComputerScienceMajorMappingTable" ref="A4:F400" headerRowCount="1" totalsRowCount="0" totalsRowShown="0">
  <x:tableColumns count="6">
    <x:tableColumn id="1" name="Skill ID"/>
    <x:tableColumn id="2" name="专业名称"/>
    <x:tableColumn id="3" name="优先级"/>
    <x:tableColumn id="4" name="安全等级"/>
    <x:tableColumn id="5" name="Skill名称"/>
    <x:tableColumn id="6" name="能力群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uterScienceSourceTable" displayName="ComputerScienceSourceTable" ref="A4:G17" headerRowCount="1" totalsRowCount="0" totalsRowShown="0">
  <x:tableColumns count="7">
    <x:tableColumn id="1" name="平台"/>
    <x:tableColumn id="2" name="仓库"/>
    <x:tableColumn id="3" name="仓库地址"/>
    <x:tableColumn id="4" name="许可证"/>
    <x:tableColumn id="5" name="审查提交"/>
    <x:tableColumn id="6" name="提交日期"/>
    <x:tableColumn id="7" name="正式候选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dba13be15a49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cb6fc69e054b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3df75558dcf4e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42c71e89e3540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a873f5396564a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9" hidden="0" customWidth="1"/>
    <x:col min="4" max="4" width="21" hidden="0" customWidth="1"/>
    <x:col min="5" max="5" width="18" hidden="0" customWidth="1"/>
    <x:col min="6" max="6" width="4" hidden="0" customWidth="1"/>
    <x:col min="7" max="7" width="27" hidden="0" customWidth="1"/>
    <x:col min="8" max="8" width="13" hidden="0" customWidth="1"/>
    <x:col min="9" max="9" width="19" hidden="0" customWidth="1"/>
    <x:col min="10" max="10" width="13" hidden="0" customWidth="1"/>
  </x:cols>
  <x:sheetData>
    <x:row r="1" ht="42" customHeight="1">
      <x:c r="A1" s="21" t="str">
        <x:v>0809 计算机类｜跨平台开源 Skill 调研总览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>
      <x:c r="A2" s="6" t="str">
        <x:v>数据日期 2026-08-07｜范围：公开开源平台｜方法：说明读取、拆包与静态审查｜未做运行验证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22" t="str">
        <x:v>核心指标</x:v>
      </x:c>
      <x:c r="B4" s="22"/>
      <x:c r="C4" s="22"/>
      <x:c r="D4" s="22"/>
      <x:c r="E4" s="22"/>
      <x:c r="F4" s="22"/>
      <x:c r="G4" s="22"/>
      <x:c r="H4" s="22"/>
      <x:c r="I4" s="22"/>
      <x:c r="J4" s="22"/>
    </x:row>
    <x:row r="5" ht="36" customHeight="1">
      <x:c r="A5" s="30" t="n">
        <x:f>COUNTA('技能清单'!$B$5:$B$92)</x:f>
        <x:v>88</x:v>
      </x:c>
      <x:c r="B5" s="30"/>
      <x:c r="C5" s="30" t="n">
        <x:f>COUNTIF('技能清单'!$L$5:$L$92,"SA")</x:f>
        <x:v>27</x:v>
      </x:c>
      <x:c r="D5" s="30"/>
      <x:c r="E5" s="30" t="n">
        <x:f>COUNTIF('技能清单'!$L$5:$L$92,"SB")</x:f>
        <x:v>35</x:v>
      </x:c>
      <x:c r="F5" s="30"/>
      <x:c r="G5" s="30" t="n">
        <x:f>COUNTIF('技能清单'!$L$5:$L$92,"SB-A")</x:f>
        <x:v>26</x:v>
      </x:c>
      <x:c r="H5" s="30"/>
      <x:c r="I5" s="30" t="n">
        <x:f>COUNTA('专业覆盖'!$B$5:$B$18)</x:f>
        <x:v>14</x:v>
      </x:c>
      <x:c r="J5" s="30"/>
    </x:row>
    <x:row r="6">
      <x:c r="A6" s="31" t="str">
        <x:v>正式候选</x:v>
      </x:c>
      <x:c r="B6" s="31"/>
      <x:c r="C6" s="31" t="str">
        <x:v>SA 低风险</x:v>
      </x:c>
      <x:c r="D6" s="31"/>
      <x:c r="E6" s="31" t="str">
        <x:v>SB 限制使用</x:v>
      </x:c>
      <x:c r="F6" s="31"/>
      <x:c r="G6" s="31" t="str">
        <x:v>SB-A 仅适配</x:v>
      </x:c>
      <x:c r="H6" s="31"/>
      <x:c r="I6" s="31" t="str">
        <x:v>覆盖专业</x:v>
      </x:c>
      <x:c r="J6" s="31"/>
    </x:row>
    <x:row r="9">
      <x:c r="A9" s="18" t="str">
        <x:v>安全等级</x:v>
      </x:c>
      <x:c r="B9" s="18" t="str">
        <x:v>数量</x:v>
      </x:c>
      <x:c r="D9" s="18" t="str">
        <x:v>来源平台</x:v>
      </x:c>
      <x:c r="E9" s="18" t="str">
        <x:v>数量</x:v>
      </x:c>
      <x:c r="G9" s="18" t="str">
        <x:v>能力群</x:v>
      </x:c>
      <x:c r="H9" s="18" t="str">
        <x:v>数量</x:v>
      </x:c>
    </x:row>
    <x:row r="10">
      <x:c r="A10" s="12" t="str">
        <x:v>SA</x:v>
      </x:c>
      <x:c r="B10" s="12" t="n">
        <x:f>COUNTIF('技能清单'!$L$5:$L$92,"SA")</x:f>
        <x:v>27</x:v>
      </x:c>
      <x:c r="D10" s="12" t="str">
        <x:v>GitHub</x:v>
      </x:c>
      <x:c r="E10" s="12" t="n">
        <x:f>COUNTIF('技能清单'!$F$5:$F$92,D10)</x:f>
        <x:v>75</x:v>
      </x:c>
      <x:c r="G10" s="12" t="str">
        <x:v>A 计算基础</x:v>
      </x:c>
      <x:c r="H10" s="12" t="n">
        <x:f>COUNTIF('技能清单'!$C$5:$C$92,G10)</x:f>
        <x:v>7</x:v>
      </x:c>
    </x:row>
    <x:row r="11">
      <x:c r="A11" s="12" t="str">
        <x:v>SB</x:v>
      </x:c>
      <x:c r="B11" s="12" t="n">
        <x:f>COUNTIF('技能清单'!$L$5:$L$92,"SB")</x:f>
        <x:v>35</x:v>
      </x:c>
      <x:c r="D11" s="12" t="str">
        <x:v>GitHub（Hugging Face 官方上游）</x:v>
      </x:c>
      <x:c r="E11" s="12" t="n">
        <x:f>COUNTIF('技能清单'!$F$5:$F$92,D11)</x:f>
        <x:v>3</x:v>
      </x:c>
      <x:c r="G11" s="12" t="str">
        <x:v>B 软件工程</x:v>
      </x:c>
      <x:c r="H11" s="12" t="n">
        <x:f>COUNTIF('技能清单'!$C$5:$C$92,G11)</x:f>
        <x:v>31</x:v>
      </x:c>
    </x:row>
    <x:row r="12">
      <x:c r="A12" s="12" t="str">
        <x:v>SB-A</x:v>
      </x:c>
      <x:c r="B12" s="12" t="n">
        <x:f>COUNTIF('技能清单'!$L$5:$L$92,"SB-A")</x:f>
        <x:v>26</x:v>
      </x:c>
      <x:c r="D12" s="12" t="str">
        <x:v>GitLab</x:v>
      </x:c>
      <x:c r="E12" s="12" t="n">
        <x:f>COUNTIF('技能清单'!$F$5:$F$92,D12)</x:f>
        <x:v>5</x:v>
      </x:c>
      <x:c r="G12" s="12" t="str">
        <x:v>C 网络安全</x:v>
      </x:c>
      <x:c r="H12" s="12" t="n">
        <x:f>COUNTIF('技能清单'!$C$5:$C$92,G12)</x:f>
        <x:v>8</x:v>
      </x:c>
    </x:row>
    <x:row r="13">
      <x:c r="D13" s="12" t="str">
        <x:v>Gitee</x:v>
      </x:c>
      <x:c r="E13" s="12" t="n">
        <x:f>COUNTIF('技能清单'!$F$5:$F$92,D13)</x:f>
        <x:v>5</x:v>
      </x:c>
      <x:c r="G13" s="12" t="str">
        <x:v>D 物联网</x:v>
      </x:c>
      <x:c r="H13" s="12" t="n">
        <x:f>COUNTIF('技能清单'!$C$5:$C$92,G13)</x:f>
        <x:v>13</x:v>
      </x:c>
    </x:row>
    <x:row r="14">
      <x:c r="G14" s="12" t="str">
        <x:v>E AI与数据</x:v>
      </x:c>
      <x:c r="H14" s="12" t="n">
        <x:f>COUNTIF('技能清单'!$C$5:$C$92,G14)</x:f>
        <x:v>14</x:v>
      </x:c>
    </x:row>
    <x:row r="15">
      <x:c r="A15" s="32" t="str">
        <x:v>准入解释</x:v>
      </x:c>
      <x:c r="B15" s="32"/>
      <x:c r="C15" s="32"/>
      <x:c r="D15" s="32"/>
      <x:c r="E15" s="32"/>
      <x:c r="G15" s="12" t="str">
        <x:v>F 空间信息</x:v>
      </x:c>
      <x:c r="H15" s="12" t="n">
        <x:f>COUNTIF('技能清单'!$C$5:$C$92,G15)</x:f>
        <x:v>2</x:v>
      </x:c>
    </x:row>
    <x:row r="16">
      <x:c r="A16" s="33" t="str">
        <x:v>等级</x:v>
      </x:c>
      <x:c r="B16" s="33" t="str">
        <x:v>原包是否可用</x:v>
      </x:c>
      <x:c r="C16" s="33" t="str">
        <x:v>网络/凭据</x:v>
      </x:c>
      <x:c r="D16" s="33" t="str">
        <x:v>外部状态</x:v>
      </x:c>
      <x:c r="E16" s="33" t="str">
        <x:v>高校落地要求</x:v>
      </x:c>
      <x:c r="G16" s="12" t="str">
        <x:v>G 数字媒体</x:v>
      </x:c>
      <x:c r="H16" s="12" t="n">
        <x:f>COUNTIF('技能清单'!$C$5:$C$92,G16)</x:f>
        <x:v>10</x:v>
      </x:c>
    </x:row>
    <x:row r="17">
      <x:c r="A17" s="19" t="str">
        <x:v>SA</x:v>
      </x:c>
      <x:c r="B17" s="19" t="str">
        <x:v>可作为低风险知识包</x:v>
      </x:c>
      <x:c r="C17" s="19" t="str">
        <x:v>无必要敏感行为</x:v>
      </x:c>
      <x:c r="D17" s="19" t="str">
        <x:v>无自动外部写入</x:v>
      </x:c>
      <x:c r="E17" s="19" t="str">
        <x:v>仍按校内制度复核</x:v>
      </x:c>
      <x:c r="G17" s="12" t="str">
        <x:v>H 保密治理</x:v>
      </x:c>
      <x:c r="H17" s="12" t="n">
        <x:f>COUNTIF('技能清单'!$C$5:$C$92,G17)</x:f>
        <x:v>3</x:v>
      </x:c>
    </x:row>
    <x:row r="18">
      <x:c r="A18" s="19" t="str">
        <x:v>SB</x:v>
      </x:c>
      <x:c r="B18" s="19" t="str">
        <x:v>只在限制条件下使用</x:v>
      </x:c>
      <x:c r="C18" s="19" t="str">
        <x:v>默认断网或白名单</x:v>
      </x:c>
      <x:c r="D18" s="19" t="str">
        <x:v>状态改变需人工确认</x:v>
      </x:c>
      <x:c r="E18" s="19" t="str">
        <x:v>隔离目录、固定依赖</x:v>
      </x:c>
    </x:row>
    <x:row r="19">
      <x:c r="A19" s="19" t="str">
        <x:v>SB-A</x:v>
      </x:c>
      <x:c r="B19" s="19" t="str">
        <x:v>原包不可直接接入</x:v>
      </x:c>
      <x:c r="C19" s="19" t="str">
        <x:v>剥离自动联网/凭据</x:v>
      </x:c>
      <x:c r="D19" s="19" t="str">
        <x:v>剥离上传、发布、部署</x:v>
      </x:c>
      <x:c r="E19" s="19" t="str">
        <x:v>仅交付静态适配版</x:v>
      </x:c>
    </x:row>
    <x:row r="21">
      <x:c r="A21" s="37" t="str">
        <x:v>安全边界：本表只说明“静态审查后的准入建议”，不构成可直接安装或运行的安全保证。任何部署仍需在隔离环境中复核依赖、权限、网络域名、数据流和外部状态改变。落选项未进入本工作簿。</x:v>
      </x:c>
      <x:c r="B21" s="37"/>
      <x:c r="C21" s="37"/>
      <x:c r="D21" s="37"/>
      <x:c r="E21" s="37"/>
      <x:c r="F21" s="37"/>
      <x:c r="G21" s="37"/>
      <x:c r="H21" s="37"/>
      <x:c r="I21" s="37"/>
      <x:c r="J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</x:row>
  </x:sheetData>
  <x:mergeCells>
    <x:mergeCell ref="A1:J1"/>
    <x:mergeCell ref="A2:J2"/>
    <x:mergeCell ref="A4:J4"/>
    <x:mergeCell ref="A5:B5"/>
    <x:mergeCell ref="C5:D5"/>
    <x:mergeCell ref="E5:F5"/>
    <x:mergeCell ref="G5:H5"/>
    <x:mergeCell ref="I5:J5"/>
    <x:mergeCell ref="A6:B6"/>
    <x:mergeCell ref="C6:D6"/>
    <x:mergeCell ref="E6:F6"/>
    <x:mergeCell ref="G6:H6"/>
    <x:mergeCell ref="I6:J6"/>
    <x:mergeCell ref="A15:E15"/>
    <x:mergeCell ref="A21:J22"/>
  </x:mergeCells>
  <x:pageMargins left="0.7" right="0.7" top="0.75" bottom="0.75" header="0.3" footer="0.3"/>
  <x:drawing xmlns:r="http://schemas.openxmlformats.org/officeDocument/2006/relationships" r:id="Rb1dba13be15a49c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7" hidden="0" customWidth="1"/>
    <x:col min="3" max="3" width="18" hidden="0" customWidth="1"/>
    <x:col min="4" max="4" width="24" hidden="0" customWidth="1"/>
    <x:col min="5" max="5" width="28" hidden="0" customWidth="1"/>
    <x:col min="6" max="6" width="14" hidden="0" customWidth="1"/>
    <x:col min="7" max="7" width="32" hidden="0" customWidth="1"/>
    <x:col min="8" max="8" width="58" hidden="0" customWidth="1"/>
    <x:col min="9" max="9" width="42" hidden="0" customWidth="1"/>
    <x:col min="10" max="10" width="46" hidden="0" customWidth="1"/>
    <x:col min="11" max="11" width="22" hidden="0" customWidth="1"/>
    <x:col min="12" max="12" width="12" hidden="0" customWidth="1"/>
    <x:col min="13" max="13" width="17" hidden="0" customWidth="1"/>
    <x:col min="14" max="14" width="35" hidden="0" customWidth="1"/>
    <x:col min="15" max="15" width="42" hidden="0" customWidth="1"/>
    <x:col min="16" max="16" width="52" hidden="0" customWidth="1"/>
    <x:col min="17" max="17" width="44" hidden="0" customWidth="1"/>
    <x:col min="18" max="18" width="47" hidden="0" customWidth="1"/>
    <x:col min="19" max="19" width="12" hidden="0" customWidth="1"/>
    <x:col min="20" max="20" width="16" hidden="0" customWidth="1"/>
    <x:col min="21" max="21" width="34" hidden="0" customWidth="1"/>
    <x:col min="22" max="22" width="14" hidden="0" customWidth="1"/>
    <x:col min="23" max="23" width="14" hidden="0" customWidth="1"/>
    <x:col min="24" max="24" width="11" hidden="0" customWidth="1"/>
    <x:col min="25" max="25" width="9" hidden="0" customWidth="1"/>
    <x:col min="26" max="26" width="34" hidden="0" customWidth="1"/>
  </x:cols>
  <x:sheetData>
    <x:row r="1" ht="38" customHeight="1">
      <x:c r="A1" s="3" t="str">
        <x:v>0809 计算机类｜跨平台开源 Skill 正式清单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6" t="str">
        <x:v>仅含通过静态准入的 88 项；原始包未安装、未运行。SB-A 只能采用剥离危险部分后的适配版。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4" ht="34" customHeight="1">
      <x:c r="A4" s="11" t="str">
        <x:v>序号</x:v>
      </x:c>
      <x:c r="B4" s="11" t="str">
        <x:v>Skill ID</x:v>
      </x:c>
      <x:c r="C4" s="11" t="str">
        <x:v>能力群</x:v>
      </x:c>
      <x:c r="D4" s="11" t="str">
        <x:v>中文名称</x:v>
      </x:c>
      <x:c r="E4" s="11" t="str">
        <x:v>英文名称</x:v>
      </x:c>
      <x:c r="F4" s="11" t="str">
        <x:v>来源平台</x:v>
      </x:c>
      <x:c r="G4" s="11" t="str">
        <x:v>来源仓库</x:v>
      </x:c>
      <x:c r="H4" s="11" t="str">
        <x:v>Skill地址</x:v>
      </x:c>
      <x:c r="I4" s="11" t="str">
        <x:v>简略功能</x:v>
      </x:c>
      <x:c r="J4" s="11" t="str">
        <x:v>覆盖专业</x:v>
      </x:c>
      <x:c r="K4" s="11" t="str">
        <x:v>覆盖类型</x:v>
      </x:c>
      <x:c r="L4" s="11" t="str">
        <x:v>安全等级</x:v>
      </x:c>
      <x:c r="M4" s="11" t="str">
        <x:v>准入形式</x:v>
      </x:c>
      <x:c r="N4" s="11" t="str">
        <x:v>执行行为</x:v>
      </x:c>
      <x:c r="O4" s="11" t="str">
        <x:v>网络与数据行为</x:v>
      </x:c>
      <x:c r="P4" s="11" t="str">
        <x:v>安全限制</x:v>
      </x:c>
      <x:c r="Q4" s="11" t="str">
        <x:v>适配保留</x:v>
      </x:c>
      <x:c r="R4" s="11" t="str">
        <x:v>适配剥离</x:v>
      </x:c>
      <x:c r="S4" s="11" t="str">
        <x:v>优先级</x:v>
      </x:c>
      <x:c r="T4" s="11" t="str">
        <x:v>许可证</x:v>
      </x:c>
      <x:c r="U4" s="11" t="str">
        <x:v>审查提交</x:v>
      </x:c>
      <x:c r="V4" s="11" t="str">
        <x:v>提交日期</x:v>
      </x:c>
      <x:c r="W4" s="11" t="str">
        <x:v>审查日期</x:v>
      </x:c>
      <x:c r="X4" s="11" t="str">
        <x:v>包文件数</x:v>
      </x:c>
      <x:c r="Y4" s="11" t="str">
        <x:v>脚本数</x:v>
      </x:c>
      <x:c r="Z4" s="11" t="str">
        <x:v>静态验证结论</x:v>
      </x:c>
    </x:row>
    <x:row r="5" ht="74" customHeight="1">
      <x:c r="A5" s="15" t="n">
        <x:v>1</x:v>
      </x:c>
      <x:c r="B5" s="15" t="str">
        <x:v>DISC-0809-0001</x:v>
      </x:c>
      <x:c r="C5" s="14" t="str">
        <x:v>A 计算基础</x:v>
      </x:c>
      <x:c r="D5" s="14" t="str">
        <x:v>计算资源侦测</x:v>
      </x:c>
      <x:c r="E5" s="14" t="str">
        <x:v>get-available-resources</x:v>
      </x:c>
      <x:c r="F5" s="16" t="str">
        <x:v>GitHub</x:v>
      </x:c>
      <x:c r="G5" s="14" t="str">
        <x:v>K-Dense-AI/scientific-agent-skills</x:v>
      </x:c>
      <x:c r="H5" s="14" t="str">
        <x:v>https://github.com/K-Dense-AI/scientific-agent-skills/blob/d767725c6e93b1d02a220e6be75b261a9833ede5/skills/get-available-resources/SKILL.md</x:v>
      </x:c>
      <x:c r="I5" s="14" t="str">
        <x:v>只读盘点 CPU、GPU、内存和磁盘，并给出计算策略建议。</x:v>
      </x:c>
      <x:c r="J5" s="14" t="str">
        <x:v>计算机科学与技术、软件工程、电子与计算机工程、智能科学与技术、数据科学与大数据技术</x:v>
      </x:c>
      <x:c r="K5" s="16" t="str">
        <x:v>专业核心</x:v>
      </x:c>
      <x:c r="L5" s="16" t="str">
        <x:v>SB</x:v>
      </x:c>
      <x:c r="M5" s="16" t="str">
        <x:v>限制使用</x:v>
      </x:c>
      <x:c r="N5" s="14" t="str">
        <x:v>含 5 个脚本文件；可调用子进程；含文件写入示例或实现</x:v>
      </x:c>
      <x:c r="O5" s="14" t="str">
        <x:v>包含外部链接、下载、API 或网络访问说明；包含上传、发布、推送、部署或其他外部状态行为</x:v>
      </x:c>
      <x:c r="P5" s="14" t="str">
        <x:v>在隔离项目目录内使用，所有状态改变均需人工确认；移除未锁版本安装与远程执行示例，依赖固定版本和哈希；默认断网；确需联网时只开放已核准域名且不得发送校内敏感数据；输出限于显式指定的新目录，禁止覆盖原文件；禁止自动上传、发布、推送、部署、评论或付费任务。</x:v>
      </x:c>
      <x:c r="Q5" s="14" t="str">
        <x:v>完整说明与已审资源；执行步骤仍受限制条件约束</x:v>
      </x:c>
      <x:c r="R5" s="14" t="str">
        <x:v>无强制剥离；按限制条件禁用越权步骤</x:v>
      </x:c>
      <x:c r="S5" s="16" t="str">
        <x:v>高</x:v>
      </x:c>
      <x:c r="T5" s="16" t="str">
        <x:v>MIT</x:v>
      </x:c>
      <x:c r="U5" s="16" t="str">
        <x:v>d767725c6e93b1d02a220e6be75b261a9833ede5</x:v>
      </x:c>
      <x:c r="V5" s="16" t="str">
        <x:v>2026-08-03</x:v>
      </x:c>
      <x:c r="W5" s="16" t="str">
        <x:v>2026-08-07</x:v>
      </x:c>
      <x:c r="X5" s="16" t="n">
        <x:v>9</x:v>
      </x:c>
      <x:c r="Y5" s="16" t="n">
        <x:v>5</x:v>
      </x:c>
      <x:c r="Z5" s="14" t="str">
        <x:v>静态三级验证：读取入口、枚举包结构、扫描脚本/依赖/网络/凭据/写入；未运行。</x:v>
      </x:c>
    </x:row>
    <x:row r="6" ht="74" customHeight="1">
      <x:c r="A6" s="15" t="n">
        <x:v>2</x:v>
      </x:c>
      <x:c r="B6" s="15" t="str">
        <x:v>DISC-0809-0002</x:v>
      </x:c>
      <x:c r="C6" s="14" t="str">
        <x:v>A 计算基础</x:v>
      </x:c>
      <x:c r="D6" s="14" t="str">
        <x:v>NetworkX 图网络分析</x:v>
      </x:c>
      <x:c r="E6" s="14" t="str">
        <x:v>networkx</x:v>
      </x:c>
      <x:c r="F6" s="16" t="str">
        <x:v>GitHub</x:v>
      </x:c>
      <x:c r="G6" s="14" t="str">
        <x:v>K-Dense-AI/scientific-agent-skills</x:v>
      </x:c>
      <x:c r="H6" s="14" t="str">
        <x:v>https://github.com/K-Dense-AI/scientific-agent-skills/blob/d767725c6e93b1d02a220e6be75b261a9833ede5/skills/networkx/SKILL.md</x:v>
      </x:c>
      <x:c r="I6" s="14" t="str">
        <x:v>创建和分析图结构、路径、中心性、社群及网络可视化。</x:v>
      </x:c>
      <x:c r="J6" s="14" t="str">
        <x:v>计算机科学与技术、软件工程、电子与计算机工程、智能科学与技术、数据科学与大数据技术</x:v>
      </x:c>
      <x:c r="K6" s="16" t="str">
        <x:v>专业核心</x:v>
      </x:c>
      <x:c r="L6" s="16" t="str">
        <x:v>SB-A</x:v>
      </x:c>
      <x:c r="M6" s="16" t="str">
        <x:v>仅适配后使用</x:v>
      </x:c>
      <x:c r="N6" s="14" t="str">
        <x:v>含文件写入示例或实现</x:v>
      </x:c>
      <x:c r="O6" s="14" t="str">
        <x:v>包含外部链接、下载、API 或网络访问说明</x:v>
      </x:c>
      <x:c r="P6" s="14" t="str">
        <x:v>在隔离项目目录内使用，所有状态改变均需人工确认；移除未锁版本安装与远程执行示例，依赖固定版本和哈希；默认断网；确需联网时只开放已核准域名且不得发送校内敏感数据；输出限于显式指定的新目录，禁止覆盖原文件。</x:v>
      </x:c>
      <x:c r="Q6" s="14" t="str">
        <x:v>SKILL.md、说明型 references 与非可执行模板；脚本仅在逐文件复核且固定依赖后单独启用</x:v>
      </x:c>
      <x:c r="R6" s="14" t="str">
        <x:v>移除未锁安装、下载后执行、自动上传/发布/推送/部署、凭据读取和高权限命令；不整包安装</x:v>
      </x:c>
      <x:c r="S6" s="16" t="str">
        <x:v>中</x:v>
      </x:c>
      <x:c r="T6" s="16" t="str">
        <x:v>MIT</x:v>
      </x:c>
      <x:c r="U6" s="16" t="str">
        <x:v>d767725c6e93b1d02a220e6be75b261a9833ede5</x:v>
      </x:c>
      <x:c r="V6" s="16" t="str">
        <x:v>2026-08-03</x:v>
      </x:c>
      <x:c r="W6" s="16" t="str">
        <x:v>2026-08-07</x:v>
      </x:c>
      <x:c r="X6" s="16" t="n">
        <x:v>6</x:v>
      </x:c>
      <x:c r="Y6" s="16" t="n">
        <x:v>0</x:v>
      </x:c>
      <x:c r="Z6" s="14" t="str">
        <x:v>静态三级验证：读取入口、枚举包结构、扫描脚本/依赖/网络/凭据/写入；未运行。</x:v>
      </x:c>
    </x:row>
    <x:row r="7" ht="74" customHeight="1">
      <x:c r="A7" s="15" t="n">
        <x:v>3</x:v>
      </x:c>
      <x:c r="B7" s="15" t="str">
        <x:v>DISC-0809-0003</x:v>
      </x:c>
      <x:c r="C7" s="14" t="str">
        <x:v>A 计算基础</x:v>
      </x:c>
      <x:c r="D7" s="14" t="str">
        <x:v>SimPy 离散事件仿真</x:v>
      </x:c>
      <x:c r="E7" s="14" t="str">
        <x:v>simpy</x:v>
      </x:c>
      <x:c r="F7" s="16" t="str">
        <x:v>GitHub</x:v>
      </x:c>
      <x:c r="G7" s="14" t="str">
        <x:v>K-Dense-AI/scientific-agent-skills</x:v>
      </x:c>
      <x:c r="H7" s="14" t="str">
        <x:v>https://github.com/K-Dense-AI/scientific-agent-skills/blob/d767725c6e93b1d02a220e6be75b261a9833ede5/skills/simpy/SKILL.md</x:v>
      </x:c>
      <x:c r="I7" s="14" t="str">
        <x:v>用进程、资源和事件构建排队、制造与系统仿真。</x:v>
      </x:c>
      <x:c r="J7" s="14" t="str">
        <x:v>计算机科学与技术、软件工程、电子与计算机工程、智能科学与技术、数据科学与大数据技术</x:v>
      </x:c>
      <x:c r="K7" s="16" t="str">
        <x:v>专业核心</x:v>
      </x:c>
      <x:c r="L7" s="16" t="str">
        <x:v>SB-A</x:v>
      </x:c>
      <x:c r="M7" s="16" t="str">
        <x:v>仅适配后使用</x:v>
      </x:c>
      <x:c r="N7" s="14" t="str">
        <x:v>含 7 个脚本文件；可调用子进程；含文件写入示例或实现；含删除相关示例</x:v>
      </x:c>
      <x:c r="O7" s="14" t="str">
        <x:v>包含外部链接、下载、API 或网络访问说明；涉及凭据、令牌或秘密管理语境</x:v>
      </x:c>
      <x:c r="P7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；输出限于显式指定的新目录，禁止覆盖原文件；删除命令从适配版剥离。</x:v>
      </x:c>
      <x:c r="Q7" s="14" t="str">
        <x:v>SKILL.md、说明型 references 与非可执行模板；脚本仅在逐文件复核且固定依赖后单独启用</x:v>
      </x:c>
      <x:c r="R7" s="14" t="str">
        <x:v>移除未锁安装、下载后执行、自动上传/发布/推送/部署、凭据读取和高权限命令；不整包安装</x:v>
      </x:c>
      <x:c r="S7" s="16" t="str">
        <x:v>中</x:v>
      </x:c>
      <x:c r="T7" s="16" t="str">
        <x:v>MIT</x:v>
      </x:c>
      <x:c r="U7" s="16" t="str">
        <x:v>d767725c6e93b1d02a220e6be75b261a9833ede5</x:v>
      </x:c>
      <x:c r="V7" s="16" t="str">
        <x:v>2026-08-03</x:v>
      </x:c>
      <x:c r="W7" s="16" t="str">
        <x:v>2026-08-07</x:v>
      </x:c>
      <x:c r="X7" s="16" t="n">
        <x:v>16</x:v>
      </x:c>
      <x:c r="Y7" s="16" t="n">
        <x:v>7</x:v>
      </x:c>
      <x:c r="Z7" s="14" t="str">
        <x:v>静态三级验证：读取入口、枚举包结构、扫描脚本/依赖/网络/凭据/写入；未运行。</x:v>
      </x:c>
    </x:row>
    <x:row r="8" ht="74" customHeight="1">
      <x:c r="A8" s="15" t="n">
        <x:v>4</x:v>
      </x:c>
      <x:c r="B8" s="15" t="str">
        <x:v>DISC-0809-0004</x:v>
      </x:c>
      <x:c r="C8" s="14" t="str">
        <x:v>A 计算基础</x:v>
      </x:c>
      <x:c r="D8" s="14" t="str">
        <x:v>SymPy 符号计算</x:v>
      </x:c>
      <x:c r="E8" s="14" t="str">
        <x:v>sympy</x:v>
      </x:c>
      <x:c r="F8" s="16" t="str">
        <x:v>GitHub</x:v>
      </x:c>
      <x:c r="G8" s="14" t="str">
        <x:v>K-Dense-AI/scientific-agent-skills</x:v>
      </x:c>
      <x:c r="H8" s="14" t="str">
        <x:v>https://github.com/K-Dense-AI/scientific-agent-skills/blob/d767725c6e93b1d02a220e6be75b261a9833ede5/skills/sympy/SKILL.md</x:v>
      </x:c>
      <x:c r="I8" s="14" t="str">
        <x:v>执行代数化简、方程、微积分、矩阵和符号验证。</x:v>
      </x:c>
      <x:c r="J8" s="14" t="str">
        <x:v>计算机科学与技术、软件工程、电子与计算机工程、智能科学与技术、数据科学与大数据技术</x:v>
      </x:c>
      <x:c r="K8" s="16" t="str">
        <x:v>专业核心</x:v>
      </x:c>
      <x:c r="L8" s="16" t="str">
        <x:v>SB-A</x:v>
      </x:c>
      <x:c r="M8" s="16" t="str">
        <x:v>仅适配后使用</x:v>
      </x:c>
      <x:c r="N8" s="14" t="str">
        <x:v>含文件写入示例或实现</x:v>
      </x:c>
      <x:c r="O8" s="14" t="str">
        <x:v>包含外部链接、下载、API 或网络访问说明</x:v>
      </x:c>
      <x:c r="P8" s="14" t="str">
        <x:v>在隔离项目目录内使用，所有状态改变均需人工确认；移除未锁版本安装与远程执行示例，依赖固定版本和哈希；默认断网；确需联网时只开放已核准域名且不得发送校内敏感数据；输出限于显式指定的新目录，禁止覆盖原文件。</x:v>
      </x:c>
      <x:c r="Q8" s="14" t="str">
        <x:v>SKILL.md、说明型 references 与非可执行模板；脚本仅在逐文件复核且固定依赖后单独启用</x:v>
      </x:c>
      <x:c r="R8" s="14" t="str">
        <x:v>移除未锁安装、下载后执行、自动上传/发布/推送/部署、凭据读取和高权限命令；不整包安装</x:v>
      </x:c>
      <x:c r="S8" s="16" t="str">
        <x:v>中</x:v>
      </x:c>
      <x:c r="T8" s="16" t="str">
        <x:v>MIT</x:v>
      </x:c>
      <x:c r="U8" s="16" t="str">
        <x:v>d767725c6e93b1d02a220e6be75b261a9833ede5</x:v>
      </x:c>
      <x:c r="V8" s="16" t="str">
        <x:v>2026-08-03</x:v>
      </x:c>
      <x:c r="W8" s="16" t="str">
        <x:v>2026-08-07</x:v>
      </x:c>
      <x:c r="X8" s="16" t="n">
        <x:v>7</x:v>
      </x:c>
      <x:c r="Y8" s="16" t="n">
        <x:v>0</x:v>
      </x:c>
      <x:c r="Z8" s="14" t="str">
        <x:v>静态三级验证：读取入口、枚举包结构、扫描脚本/依赖/网络/凭据/写入；未运行。</x:v>
      </x:c>
    </x:row>
    <x:row r="9" ht="74" customHeight="1">
      <x:c r="A9" s="15" t="n">
        <x:v>5</x:v>
      </x:c>
      <x:c r="B9" s="15" t="str">
        <x:v>DISC-0809-0005</x:v>
      </x:c>
      <x:c r="C9" s="14" t="str">
        <x:v>A 计算基础</x:v>
      </x:c>
      <x:c r="D9" s="14" t="str">
        <x:v>性能分析与优化</x:v>
      </x:c>
      <x:c r="E9" s="14" t="str">
        <x:v>performance-optimization</x:v>
      </x:c>
      <x:c r="F9" s="16" t="str">
        <x:v>GitHub</x:v>
      </x:c>
      <x:c r="G9" s="14" t="str">
        <x:v>addyosmani/agent-skills</x:v>
      </x:c>
      <x:c r="H9" s="14" t="str">
        <x:v>https://github.com/addyosmani/agent-skills/blob/d2478bf0c73a6357df39a3ed6aff16acaa218843/skills/performance-optimization/SKILL.md</x:v>
      </x:c>
      <x:c r="I9" s="14" t="str">
        <x:v>建立基线、定位瓶颈并用测量结果验证优化收益。</x:v>
      </x:c>
      <x:c r="J9" s="14" t="str">
        <x:v>计算机科学与技术、软件工程、电子与计算机工程、智能科学与技术、数据科学与大数据技术</x:v>
      </x:c>
      <x:c r="K9" s="16" t="str">
        <x:v>专业核心</x:v>
      </x:c>
      <x:c r="L9" s="16" t="str">
        <x:v>SB</x:v>
      </x:c>
      <x:c r="M9" s="16" t="str">
        <x:v>限制使用</x:v>
      </x:c>
      <x:c r="N9" s="14" t="str">
        <x:v>含文件写入示例或实现</x:v>
      </x:c>
      <x:c r="O9" s="14" t="str">
        <x:v>包含外部链接、下载、API 或网络访问说明</x:v>
      </x:c>
      <x:c r="P9" s="14" t="str">
        <x:v>在隔离项目目录内使用，所有状态改变均需人工确认；默认断网；确需联网时只开放已核准域名且不得发送校内敏感数据；输出限于显式指定的新目录，禁止覆盖原文件。</x:v>
      </x:c>
      <x:c r="Q9" s="14" t="str">
        <x:v>完整说明与已审资源；执行步骤仍受限制条件约束</x:v>
      </x:c>
      <x:c r="R9" s="14" t="str">
        <x:v>无强制剥离；按限制条件禁用越权步骤</x:v>
      </x:c>
      <x:c r="S9" s="16" t="str">
        <x:v>中</x:v>
      </x:c>
      <x:c r="T9" s="16" t="str">
        <x:v>MIT</x:v>
      </x:c>
      <x:c r="U9" s="16" t="str">
        <x:v>d2478bf0c73a6357df39a3ed6aff16acaa218843</x:v>
      </x:c>
      <x:c r="V9" s="16" t="str">
        <x:v>2026-08-06</x:v>
      </x:c>
      <x:c r="W9" s="16" t="str">
        <x:v>2026-08-07</x:v>
      </x:c>
      <x:c r="X9" s="16" t="n">
        <x:v>1</x:v>
      </x:c>
      <x:c r="Y9" s="16" t="n">
        <x:v>0</x:v>
      </x:c>
      <x:c r="Z9" s="14" t="str">
        <x:v>静态三级验证：读取入口、枚举包结构、扫描脚本/依赖/网络/凭据/写入；未运行。</x:v>
      </x:c>
    </x:row>
    <x:row r="10" ht="74" customHeight="1">
      <x:c r="A10" s="15" t="n">
        <x:v>6</x:v>
      </x:c>
      <x:c r="B10" s="15" t="str">
        <x:v>DISC-0809-0006</x:v>
      </x:c>
      <x:c r="C10" s="14" t="str">
        <x:v>A 计算基础</x:v>
      </x:c>
      <x:c r="D10" s="14" t="str">
        <x:v>Lean 形式化证明</x:v>
      </x:c>
      <x:c r="E10" s="14" t="str">
        <x:v>lean-proof</x:v>
      </x:c>
      <x:c r="F10" s="16" t="str">
        <x:v>GitHub</x:v>
      </x:c>
      <x:c r="G10" s="14" t="str">
        <x:v>leanprover/skills</x:v>
      </x:c>
      <x:c r="H10" s="14" t="str">
        <x:v>https://github.com/leanprover/skills/blob/7d3da0282e7b724b07620e45cf212f2e05e19334/skills/lean-proof/SKILL.md</x:v>
      </x:c>
      <x:c r="I10" s="14" t="str">
        <x:v>在 Lean/mathlib 中构造、检查和组织可编译证明。</x:v>
      </x:c>
      <x:c r="J10" s="14" t="str">
        <x:v>计算机科学与技术、软件工程、电子与计算机工程、智能科学与技术、数据科学与大数据技术</x:v>
      </x:c>
      <x:c r="K10" s="16" t="str">
        <x:v>专业核心</x:v>
      </x:c>
      <x:c r="L10" s="16" t="str">
        <x:v>SB</x:v>
      </x:c>
      <x:c r="M10" s="16" t="str">
        <x:v>限制使用</x:v>
      </x:c>
      <x:c r="N10" s="14" t="str">
        <x:v>未见随包可执行载荷；主要为说明、模板或参考资料</x:v>
      </x:c>
      <x:c r="O10" s="14" t="str">
        <x:v>包含外部链接、下载、API 或网络访问说明</x:v>
      </x:c>
      <x:c r="P10" s="14" t="str">
        <x:v>在隔离项目目录内使用，所有状态改变均需人工确认；默认断网；确需联网时只开放已核准域名且不得发送校内敏感数据。</x:v>
      </x:c>
      <x:c r="Q10" s="14" t="str">
        <x:v>完整说明与已审资源；执行步骤仍受限制条件约束</x:v>
      </x:c>
      <x:c r="R10" s="14" t="str">
        <x:v>无强制剥离；按限制条件禁用越权步骤</x:v>
      </x:c>
      <x:c r="S10" s="16" t="str">
        <x:v>中</x:v>
      </x:c>
      <x:c r="T10" s="16" t="str">
        <x:v>Apache-2.0</x:v>
      </x:c>
      <x:c r="U10" s="16" t="str">
        <x:v>7d3da0282e7b724b07620e45cf212f2e05e19334</x:v>
      </x:c>
      <x:c r="V10" s="16" t="str">
        <x:v>2026-02-21</x:v>
      </x:c>
      <x:c r="W10" s="16" t="str">
        <x:v>2026-08-07</x:v>
      </x:c>
      <x:c r="X10" s="16" t="n">
        <x:v>2</x:v>
      </x:c>
      <x:c r="Y10" s="16" t="n">
        <x:v>0</x:v>
      </x:c>
      <x:c r="Z10" s="14" t="str">
        <x:v>静态三级验证：读取入口、枚举包结构、扫描脚本/依赖/网络/凭据/写入；未运行。</x:v>
      </x:c>
    </x:row>
    <x:row r="11" ht="74" customHeight="1">
      <x:c r="A11" s="15" t="n">
        <x:v>7</x:v>
      </x:c>
      <x:c r="B11" s="15" t="str">
        <x:v>DISC-0809-0007</x:v>
      </x:c>
      <x:c r="C11" s="14" t="str">
        <x:v>A 计算基础</x:v>
      </x:c>
      <x:c r="D11" s="14" t="str">
        <x:v>Mathlib 代码审查</x:v>
      </x:c>
      <x:c r="E11" s="14" t="str">
        <x:v>mathlib-review</x:v>
      </x:c>
      <x:c r="F11" s="16" t="str">
        <x:v>GitHub</x:v>
      </x:c>
      <x:c r="G11" s="14" t="str">
        <x:v>leanprover/skills</x:v>
      </x:c>
      <x:c r="H11" s="14" t="str">
        <x:v>https://github.com/leanprover/skills/blob/7d3da0282e7b724b07620e45cf212f2e05e19334/skills/mathlib-review/SKILL.md</x:v>
      </x:c>
      <x:c r="I11" s="14" t="str">
        <x:v>按 mathlib API、属性和风格审查形式化数学贡献。</x:v>
      </x:c>
      <x:c r="J11" s="14" t="str">
        <x:v>计算机科学与技术、软件工程、电子与计算机工程、智能科学与技术、数据科学与大数据技术</x:v>
      </x:c>
      <x:c r="K11" s="16" t="str">
        <x:v>专业核心</x:v>
      </x:c>
      <x:c r="L11" s="16" t="str">
        <x:v>SA</x:v>
      </x:c>
      <x:c r="M11" s="16" t="str">
        <x:v>原包可用</x:v>
      </x:c>
      <x:c r="N11" s="14" t="str">
        <x:v>未见随包可执行载荷；主要为说明、模板或参考资料</x:v>
      </x:c>
      <x:c r="O11" s="14" t="str">
        <x:v>包含外部链接、下载、API 或网络访问说明</x:v>
      </x:c>
      <x:c r="P11" s="14" t="str">
        <x:v>按只读说明/模板使用；仍需人工复核生成内容，不自动提交、发布或替代课程评价。</x:v>
      </x:c>
      <x:c r="Q11" s="14" t="str">
        <x:v>完整说明与已审资源；执行步骤仍受限制条件约束</x:v>
      </x:c>
      <x:c r="R11" s="14" t="str">
        <x:v>无强制剥离；按限制条件禁用越权步骤</x:v>
      </x:c>
      <x:c r="S11" s="16" t="str">
        <x:v>中</x:v>
      </x:c>
      <x:c r="T11" s="16" t="str">
        <x:v>Apache-2.0</x:v>
      </x:c>
      <x:c r="U11" s="16" t="str">
        <x:v>7d3da0282e7b724b07620e45cf212f2e05e19334</x:v>
      </x:c>
      <x:c r="V11" s="16" t="str">
        <x:v>2026-02-21</x:v>
      </x:c>
      <x:c r="W11" s="16" t="str">
        <x:v>2026-08-07</x:v>
      </x:c>
      <x:c r="X11" s="16" t="n">
        <x:v>1</x:v>
      </x:c>
      <x:c r="Y11" s="16" t="n">
        <x:v>0</x:v>
      </x:c>
      <x:c r="Z11" s="14" t="str">
        <x:v>静态三级验证：读取入口、枚举包结构、扫描脚本/依赖/网络/凭据/写入；未运行。</x:v>
      </x:c>
    </x:row>
    <x:row r="12" ht="74" customHeight="1">
      <x:c r="A12" s="15" t="n">
        <x:v>8</x:v>
      </x:c>
      <x:c r="B12" s="15" t="str">
        <x:v>DISC-0809-0008</x:v>
      </x:c>
      <x:c r="C12" s="14" t="str">
        <x:v>B 软件工程</x:v>
      </x:c>
      <x:c r="D12" s="14" t="str">
        <x:v>API 文档生成</x:v>
      </x:c>
      <x:c r="E12" s="14" t="str">
        <x:v>api-doc-generator</x:v>
      </x:c>
      <x:c r="F12" s="16" t="str">
        <x:v>Gitee</x:v>
      </x:c>
      <x:c r="G12" s="14" t="str">
        <x:v>8686555/awesome-agent-skills</x:v>
      </x:c>
      <x:c r="H12" s="14" t="str">
        <x:v>https://gitee.com/8686555/awesome-agent-skills/blob/99a60213930cb9d327d4743e72162ec02054ce4a/examples/api-doc-generator/SKILL.md</x:v>
      </x:c>
      <x:c r="I12" s="14" t="str">
        <x:v>从代码梳理端点、参数、响应、认证并输出 Markdown 或 OpenAPI 文档。</x:v>
      </x:c>
      <x:c r="J12" s="14" t="str">
        <x:v>计算机科学与技术、软件工程、网络工程、电子与计算机工程、新媒体技术</x:v>
      </x:c>
      <x:c r="K12" s="16" t="str">
        <x:v>专业核心 / 跨专业通用</x:v>
      </x:c>
      <x:c r="L12" s="16" t="str">
        <x:v>SA</x:v>
      </x:c>
      <x:c r="M12" s="16" t="str">
        <x:v>原包可用</x:v>
      </x:c>
      <x:c r="N12" s="14" t="str">
        <x:v>含文件写入示例或实现</x:v>
      </x:c>
      <x:c r="O12" s="14" t="str">
        <x:v>涉及凭据、令牌或秘密管理语境</x:v>
      </x:c>
      <x:c r="P12" s="14" t="str">
        <x:v>按只读说明/模板使用；仍需人工复核生成内容，不自动提交、发布或替代课程评价。</x:v>
      </x:c>
      <x:c r="Q12" s="14" t="str">
        <x:v>完整说明与已审资源；执行步骤仍受限制条件约束</x:v>
      </x:c>
      <x:c r="R12" s="14" t="str">
        <x:v>无强制剥离；按限制条件禁用越权步骤</x:v>
      </x:c>
      <x:c r="S12" s="16" t="str">
        <x:v>中</x:v>
      </x:c>
      <x:c r="T12" s="16" t="str">
        <x:v>CC0-1.0</x:v>
      </x:c>
      <x:c r="U12" s="16" t="str">
        <x:v>99a60213930cb9d327d4743e72162ec02054ce4a</x:v>
      </x:c>
      <x:c r="V12" s="16" t="str">
        <x:v>2026-02-04</x:v>
      </x:c>
      <x:c r="W12" s="16" t="str">
        <x:v>2026-08-07</x:v>
      </x:c>
      <x:c r="X12" s="16" t="n">
        <x:v>2</x:v>
      </x:c>
      <x:c r="Y12" s="16" t="n">
        <x:v>0</x:v>
      </x:c>
      <x:c r="Z12" s="14" t="str">
        <x:v>静态三级验证：读取入口、枚举包结构、扫描脚本/依赖/网络/凭据/写入；未运行。</x:v>
      </x:c>
    </x:row>
    <x:row r="13" ht="74" customHeight="1">
      <x:c r="A13" s="15" t="n">
        <x:v>9</x:v>
      </x:c>
      <x:c r="B13" s="15" t="str">
        <x:v>DISC-0809-0009</x:v>
      </x:c>
      <x:c r="C13" s="14" t="str">
        <x:v>B 软件工程</x:v>
      </x:c>
      <x:c r="D13" s="14" t="str">
        <x:v>代码审查</x:v>
      </x:c>
      <x:c r="E13" s="14" t="str">
        <x:v>code-review</x:v>
      </x:c>
      <x:c r="F13" s="16" t="str">
        <x:v>Gitee</x:v>
      </x:c>
      <x:c r="G13" s="14" t="str">
        <x:v>8686555/awesome-agent-skills</x:v>
      </x:c>
      <x:c r="H13" s="14" t="str">
        <x:v>https://gitee.com/8686555/awesome-agent-skills/blob/99a60213930cb9d327d4743e72162ec02054ce4a/examples/code-review/SKILL.md</x:v>
      </x:c>
      <x:c r="I13" s="14" t="str">
        <x:v>以双语模板检查语法、逻辑、安全、性能和风格问题。</x:v>
      </x:c>
      <x:c r="J13" s="14" t="str">
        <x:v>计算机科学与技术、软件工程、网络工程、电子与计算机工程、新媒体技术</x:v>
      </x:c>
      <x:c r="K13" s="16" t="str">
        <x:v>专业核心 / 跨专业通用</x:v>
      </x:c>
      <x:c r="L13" s="16" t="str">
        <x:v>SA</x:v>
      </x:c>
      <x:c r="M13" s="16" t="str">
        <x:v>原包可用</x:v>
      </x:c>
      <x:c r="N13" s="14" t="str">
        <x:v>含文件写入示例或实现</x:v>
      </x:c>
      <x:c r="O13" s="14" t="str">
        <x:v>未见必要的凭据或外部写入行为</x:v>
      </x:c>
      <x:c r="P13" s="14" t="str">
        <x:v>按只读说明/模板使用；仍需人工复核生成内容，不自动提交、发布或替代课程评价。</x:v>
      </x:c>
      <x:c r="Q13" s="14" t="str">
        <x:v>完整说明与已审资源；执行步骤仍受限制条件约束</x:v>
      </x:c>
      <x:c r="R13" s="14" t="str">
        <x:v>无强制剥离；按限制条件禁用越权步骤</x:v>
      </x:c>
      <x:c r="S13" s="16" t="str">
        <x:v>中</x:v>
      </x:c>
      <x:c r="T13" s="16" t="str">
        <x:v>CC0-1.0</x:v>
      </x:c>
      <x:c r="U13" s="16" t="str">
        <x:v>99a60213930cb9d327d4743e72162ec02054ce4a</x:v>
      </x:c>
      <x:c r="V13" s="16" t="str">
        <x:v>2026-02-04</x:v>
      </x:c>
      <x:c r="W13" s="16" t="str">
        <x:v>2026-08-07</x:v>
      </x:c>
      <x:c r="X13" s="16" t="n">
        <x:v>1</x:v>
      </x:c>
      <x:c r="Y13" s="16" t="n">
        <x:v>0</x:v>
      </x:c>
      <x:c r="Z13" s="14" t="str">
        <x:v>静态三级验证：读取入口、枚举包结构、扫描脚本/依赖/网络/凭据/写入；未运行。</x:v>
      </x:c>
    </x:row>
    <x:row r="14" ht="74" customHeight="1">
      <x:c r="A14" s="15" t="n">
        <x:v>10</x:v>
      </x:c>
      <x:c r="B14" s="15" t="str">
        <x:v>DISC-0809-0010</x:v>
      </x:c>
      <x:c r="C14" s="14" t="str">
        <x:v>B 软件工程</x:v>
      </x:c>
      <x:c r="D14" s="14" t="str">
        <x:v>调试助手</x:v>
      </x:c>
      <x:c r="E14" s="14" t="str">
        <x:v>debug-helper</x:v>
      </x:c>
      <x:c r="F14" s="16" t="str">
        <x:v>Gitee</x:v>
      </x:c>
      <x:c r="G14" s="14" t="str">
        <x:v>8686555/awesome-agent-skills</x:v>
      </x:c>
      <x:c r="H14" s="14" t="str">
        <x:v>https://gitee.com/8686555/awesome-agent-skills/blob/99a60213930cb9d327d4743e72162ec02054ce4a/examples/debug-helper/SKILL.md</x:v>
      </x:c>
      <x:c r="I14" s="14" t="str">
        <x:v>围绕 What、Where、Why、How 分析错误并给出修复与预防建议。</x:v>
      </x:c>
      <x:c r="J14" s="14" t="str">
        <x:v>计算机科学与技术、软件工程、网络工程、电子与计算机工程、新媒体技术</x:v>
      </x:c>
      <x:c r="K14" s="16" t="str">
        <x:v>专业核心 / 跨专业通用</x:v>
      </x:c>
      <x:c r="L14" s="16" t="str">
        <x:v>SA</x:v>
      </x:c>
      <x:c r="M14" s="16" t="str">
        <x:v>原包可用</x:v>
      </x:c>
      <x:c r="N14" s="14" t="str">
        <x:v>含文件写入示例或实现</x:v>
      </x:c>
      <x:c r="O14" s="14" t="str">
        <x:v>未见必要的凭据或外部写入行为</x:v>
      </x:c>
      <x:c r="P14" s="14" t="str">
        <x:v>按只读说明/模板使用；仍需人工复核生成内容，不自动提交、发布或替代课程评价。</x:v>
      </x:c>
      <x:c r="Q14" s="14" t="str">
        <x:v>完整说明与已审资源；执行步骤仍受限制条件约束</x:v>
      </x:c>
      <x:c r="R14" s="14" t="str">
        <x:v>无强制剥离；按限制条件禁用越权步骤</x:v>
      </x:c>
      <x:c r="S14" s="16" t="str">
        <x:v>中</x:v>
      </x:c>
      <x:c r="T14" s="16" t="str">
        <x:v>CC0-1.0</x:v>
      </x:c>
      <x:c r="U14" s="16" t="str">
        <x:v>99a60213930cb9d327d4743e72162ec02054ce4a</x:v>
      </x:c>
      <x:c r="V14" s="16" t="str">
        <x:v>2026-02-04</x:v>
      </x:c>
      <x:c r="W14" s="16" t="str">
        <x:v>2026-08-07</x:v>
      </x:c>
      <x:c r="X14" s="16" t="n">
        <x:v>2</x:v>
      </x:c>
      <x:c r="Y14" s="16" t="n">
        <x:v>0</x:v>
      </x:c>
      <x:c r="Z14" s="14" t="str">
        <x:v>静态三级验证：读取入口、枚举包结构、扫描脚本/依赖/网络/凭据/写入；未运行。</x:v>
      </x:c>
    </x:row>
    <x:row r="15" ht="74" customHeight="1">
      <x:c r="A15" s="15" t="n">
        <x:v>11</x:v>
      </x:c>
      <x:c r="B15" s="15" t="str">
        <x:v>DISC-0809-0011</x:v>
      </x:c>
      <x:c r="C15" s="14" t="str">
        <x:v>B 软件工程</x:v>
      </x:c>
      <x:c r="D15" s="14" t="str">
        <x:v>Git 提交信息生成</x:v>
      </x:c>
      <x:c r="E15" s="14" t="str">
        <x:v>git-commit</x:v>
      </x:c>
      <x:c r="F15" s="16" t="str">
        <x:v>Gitee</x:v>
      </x:c>
      <x:c r="G15" s="14" t="str">
        <x:v>8686555/awesome-agent-skills</x:v>
      </x:c>
      <x:c r="H15" s="14" t="str">
        <x:v>https://gitee.com/8686555/awesome-agent-skills/blob/99a60213930cb9d327d4743e72162ec02054ce4a/examples/git-commit/SKILL.md</x:v>
      </x:c>
      <x:c r="I15" s="14" t="str">
        <x:v>按 Conventional Commits 从变更生成规范提交信息。</x:v>
      </x:c>
      <x:c r="J15" s="14" t="str">
        <x:v>计算机科学与技术、软件工程、网络工程、电子与计算机工程、新媒体技术</x:v>
      </x:c>
      <x:c r="K15" s="16" t="str">
        <x:v>专业核心 / 跨专业通用</x:v>
      </x:c>
      <x:c r="L15" s="16" t="str">
        <x:v>SA</x:v>
      </x:c>
      <x:c r="M15" s="16" t="str">
        <x:v>原包可用</x:v>
      </x:c>
      <x:c r="N15" s="14" t="str">
        <x:v>含文件写入示例或实现</x:v>
      </x:c>
      <x:c r="O15" s="14" t="str">
        <x:v>包含外部链接、下载、API 或网络访问说明</x:v>
      </x:c>
      <x:c r="P15" s="14" t="str">
        <x:v>按只读说明/模板使用；仍需人工复核生成内容，不自动提交、发布或替代课程评价。</x:v>
      </x:c>
      <x:c r="Q15" s="14" t="str">
        <x:v>完整说明与已审资源；执行步骤仍受限制条件约束</x:v>
      </x:c>
      <x:c r="R15" s="14" t="str">
        <x:v>无强制剥离；按限制条件禁用越权步骤</x:v>
      </x:c>
      <x:c r="S15" s="16" t="str">
        <x:v>中</x:v>
      </x:c>
      <x:c r="T15" s="16" t="str">
        <x:v>CC0-1.0</x:v>
      </x:c>
      <x:c r="U15" s="16" t="str">
        <x:v>99a60213930cb9d327d4743e72162ec02054ce4a</x:v>
      </x:c>
      <x:c r="V15" s="16" t="str">
        <x:v>2026-02-04</x:v>
      </x:c>
      <x:c r="W15" s="16" t="str">
        <x:v>2026-08-07</x:v>
      </x:c>
      <x:c r="X15" s="16" t="n">
        <x:v>1</x:v>
      </x:c>
      <x:c r="Y15" s="16" t="n">
        <x:v>0</x:v>
      </x:c>
      <x:c r="Z15" s="14" t="str">
        <x:v>静态三级验证：读取入口、枚举包结构、扫描脚本/依赖/网络/凭据/写入；未运行。</x:v>
      </x:c>
    </x:row>
    <x:row r="16" ht="74" customHeight="1">
      <x:c r="A16" s="15" t="n">
        <x:v>12</x:v>
      </x:c>
      <x:c r="B16" s="15" t="str">
        <x:v>DISC-0809-0012</x:v>
      </x:c>
      <x:c r="C16" s="14" t="str">
        <x:v>B 软件工程</x:v>
      </x:c>
      <x:c r="D16" s="14" t="str">
        <x:v>单元测试生成</x:v>
      </x:c>
      <x:c r="E16" s="14" t="str">
        <x:v>unit-test-generator</x:v>
      </x:c>
      <x:c r="F16" s="16" t="str">
        <x:v>Gitee</x:v>
      </x:c>
      <x:c r="G16" s="14" t="str">
        <x:v>8686555/awesome-agent-skills</x:v>
      </x:c>
      <x:c r="H16" s="14" t="str">
        <x:v>https://gitee.com/8686555/awesome-agent-skills/blob/99a60213930cb9d327d4743e72162ec02054ce4a/examples/unit-test-generator/SKILL.md</x:v>
      </x:c>
      <x:c r="I16" s="14" t="str">
        <x:v>识别语言、框架、正常路径、边界和异常，生成测试草案。</x:v>
      </x:c>
      <x:c r="J16" s="14" t="str">
        <x:v>计算机科学与技术、软件工程、网络工程、电子与计算机工程、新媒体技术</x:v>
      </x:c>
      <x:c r="K16" s="16" t="str">
        <x:v>专业核心 / 跨专业通用</x:v>
      </x:c>
      <x:c r="L16" s="16" t="str">
        <x:v>SA</x:v>
      </x:c>
      <x:c r="M16" s="16" t="str">
        <x:v>原包可用</x:v>
      </x:c>
      <x:c r="N16" s="14" t="str">
        <x:v>含文件写入示例或实现</x:v>
      </x:c>
      <x:c r="O16" s="14" t="str">
        <x:v>未见必要的凭据或外部写入行为</x:v>
      </x:c>
      <x:c r="P16" s="14" t="str">
        <x:v>按只读说明/模板使用；仍需人工复核生成内容，不自动提交、发布或替代课程评价。</x:v>
      </x:c>
      <x:c r="Q16" s="14" t="str">
        <x:v>完整说明与已审资源；执行步骤仍受限制条件约束</x:v>
      </x:c>
      <x:c r="R16" s="14" t="str">
        <x:v>无强制剥离；按限制条件禁用越权步骤</x:v>
      </x:c>
      <x:c r="S16" s="16" t="str">
        <x:v>中</x:v>
      </x:c>
      <x:c r="T16" s="16" t="str">
        <x:v>CC0-1.0</x:v>
      </x:c>
      <x:c r="U16" s="16" t="str">
        <x:v>99a60213930cb9d327d4743e72162ec02054ce4a</x:v>
      </x:c>
      <x:c r="V16" s="16" t="str">
        <x:v>2026-02-04</x:v>
      </x:c>
      <x:c r="W16" s="16" t="str">
        <x:v>2026-08-07</x:v>
      </x:c>
      <x:c r="X16" s="16" t="n">
        <x:v>2</x:v>
      </x:c>
      <x:c r="Y16" s="16" t="n">
        <x:v>0</x:v>
      </x:c>
      <x:c r="Z16" s="14" t="str">
        <x:v>静态三级验证：读取入口、枚举包结构、扫描脚本/依赖/网络/凭据/写入；未运行。</x:v>
      </x:c>
    </x:row>
    <x:row r="17" ht="74" customHeight="1">
      <x:c r="A17" s="15" t="n">
        <x:v>13</x:v>
      </x:c>
      <x:c r="B17" s="15" t="str">
        <x:v>DISC-0809-0013</x:v>
      </x:c>
      <x:c r="C17" s="14" t="str">
        <x:v>B 软件工程</x:v>
      </x:c>
      <x:c r="D17" s="14" t="str">
        <x:v>GitLab 提交信息规范</x:v>
      </x:c>
      <x:c r="E17" s="14" t="str">
        <x:v>commit-messages</x:v>
      </x:c>
      <x:c r="F17" s="16" t="str">
        <x:v>GitLab</x:v>
      </x:c>
      <x:c r="G17" s="14" t="str">
        <x:v>gitlab-org/ai/skills</x:v>
      </x:c>
      <x:c r="H17" s="14" t="str">
        <x:v>https://gitlab.com/gitlab-org/ai/skills/-/blob/aa0aec4a0425e234f9343687683289bee69e89ed/skills/commit-messages/SKILL.md</x:v>
      </x:c>
      <x:c r="I17" s="14" t="str">
        <x:v>生成祈使语态、结构清晰、适合原子提交的 Git 信息。</x:v>
      </x:c>
      <x:c r="J17" s="14" t="str">
        <x:v>计算机科学与技术、软件工程、网络工程、电子与计算机工程、新媒体技术</x:v>
      </x:c>
      <x:c r="K17" s="16" t="str">
        <x:v>专业核心 / 跨专业通用</x:v>
      </x:c>
      <x:c r="L17" s="16" t="str">
        <x:v>SA</x:v>
      </x:c>
      <x:c r="M17" s="16" t="str">
        <x:v>原包可用</x:v>
      </x:c>
      <x:c r="N17" s="14" t="str">
        <x:v>未见随包可执行载荷；主要为说明、模板或参考资料</x:v>
      </x:c>
      <x:c r="O17" s="14" t="str">
        <x:v>包含外部链接、下载、API 或网络访问说明；涉及凭据、令牌或秘密管理语境</x:v>
      </x:c>
      <x:c r="P17" s="14" t="str">
        <x:v>按只读说明/模板使用；仍需人工复核生成内容，不自动提交、发布或替代课程评价。</x:v>
      </x:c>
      <x:c r="Q17" s="14" t="str">
        <x:v>完整说明与已审资源；执行步骤仍受限制条件约束</x:v>
      </x:c>
      <x:c r="R17" s="14" t="str">
        <x:v>无强制剥离；按限制条件禁用越权步骤</x:v>
      </x:c>
      <x:c r="S17" s="16" t="str">
        <x:v>中</x:v>
      </x:c>
      <x:c r="T17" s="16" t="str">
        <x:v>MIT</x:v>
      </x:c>
      <x:c r="U17" s="16" t="str">
        <x:v>aa0aec4a0425e234f9343687683289bee69e89ed</x:v>
      </x:c>
      <x:c r="V17" s="16" t="str">
        <x:v>2026-08-07</x:v>
      </x:c>
      <x:c r="W17" s="16" t="str">
        <x:v>2026-08-07</x:v>
      </x:c>
      <x:c r="X17" s="16" t="n">
        <x:v>4</x:v>
      </x:c>
      <x:c r="Y17" s="16" t="n">
        <x:v>0</x:v>
      </x:c>
      <x:c r="Z17" s="14" t="str">
        <x:v>静态三级验证：读取入口、枚举包结构、扫描脚本/依赖/网络/凭据/写入；未运行。</x:v>
      </x:c>
    </x:row>
    <x:row r="18" ht="74" customHeight="1">
      <x:c r="A18" s="15" t="n">
        <x:v>14</x:v>
      </x:c>
      <x:c r="B18" s="15" t="str">
        <x:v>DISC-0809-0014</x:v>
      </x:c>
      <x:c r="C18" s="14" t="str">
        <x:v>B 软件工程</x:v>
      </x:c>
      <x:c r="D18" s="14" t="str">
        <x:v>工程任务交接</x:v>
      </x:c>
      <x:c r="E18" s="14" t="str">
        <x:v>handoff</x:v>
      </x:c>
      <x:c r="F18" s="16" t="str">
        <x:v>GitLab</x:v>
      </x:c>
      <x:c r="G18" s="14" t="str">
        <x:v>gitlab-org/ai/skills</x:v>
      </x:c>
      <x:c r="H18" s="14" t="str">
        <x:v>https://gitlab.com/gitlab-org/ai/skills/-/blob/aa0aec4a0425e234f9343687683289bee69e89ed/skills/handoff/SKILL.md</x:v>
      </x:c>
      <x:c r="I18" s="14" t="str">
        <x:v>把当前任务状态压缩为可续接、可脱敏、锚定持久工件的交接文档。</x:v>
      </x:c>
      <x:c r="J18" s="14" t="str">
        <x:v>计算机科学与技术、软件工程、网络工程、电子与计算机工程、新媒体技术</x:v>
      </x:c>
      <x:c r="K18" s="16" t="str">
        <x:v>跨专业通用 / 员工支持</x:v>
      </x:c>
      <x:c r="L18" s="16" t="str">
        <x:v>SB</x:v>
      </x:c>
      <x:c r="M18" s="16" t="str">
        <x:v>限制使用</x:v>
      </x:c>
      <x:c r="N18" s="14" t="str">
        <x:v>未见随包可执行载荷；主要为说明、模板或参考资料</x:v>
      </x:c>
      <x:c r="O18" s="14" t="str">
        <x:v>包含外部链接、下载、API 或网络访问说明；涉及凭据、令牌或秘密管理语境</x:v>
      </x:c>
      <x:c r="P18" s="14" t="str">
        <x:v>在隔离项目目录内使用，所有状态改变均需人工确认；默认断网；确需联网时只开放已核准域名且不得发送校内敏感数据；不得读取或回显现有凭据，令牌由用户侧最小权限注入。</x:v>
      </x:c>
      <x:c r="Q18" s="14" t="str">
        <x:v>完整说明与已审资源；执行步骤仍受限制条件约束</x:v>
      </x:c>
      <x:c r="R18" s="14" t="str">
        <x:v>无强制剥离；按限制条件禁用越权步骤</x:v>
      </x:c>
      <x:c r="S18" s="16" t="str">
        <x:v>中</x:v>
      </x:c>
      <x:c r="T18" s="16" t="str">
        <x:v>MIT</x:v>
      </x:c>
      <x:c r="U18" s="16" t="str">
        <x:v>aa0aec4a0425e234f9343687683289bee69e89ed</x:v>
      </x:c>
      <x:c r="V18" s="16" t="str">
        <x:v>2026-08-07</x:v>
      </x:c>
      <x:c r="W18" s="16" t="str">
        <x:v>2026-08-07</x:v>
      </x:c>
      <x:c r="X18" s="16" t="n">
        <x:v>2</x:v>
      </x:c>
      <x:c r="Y18" s="16" t="n">
        <x:v>0</x:v>
      </x:c>
      <x:c r="Z18" s="14" t="str">
        <x:v>静态三级验证：读取入口、枚举包结构、扫描脚本/依赖/网络/凭据/写入；未运行。</x:v>
      </x:c>
    </x:row>
    <x:row r="19" ht="74" customHeight="1">
      <x:c r="A19" s="15" t="n">
        <x:v>15</x:v>
      </x:c>
      <x:c r="B19" s="15" t="str">
        <x:v>DISC-0809-0015</x:v>
      </x:c>
      <x:c r="C19" s="14" t="str">
        <x:v>B 软件工程</x:v>
      </x:c>
      <x:c r="D19" s="14" t="str">
        <x:v>GitLab MR 引导式审查</x:v>
      </x:c>
      <x:c r="E19" s="14" t="str">
        <x:v>mr-guided-review</x:v>
      </x:c>
      <x:c r="F19" s="16" t="str">
        <x:v>GitLab</x:v>
      </x:c>
      <x:c r="G19" s="14" t="str">
        <x:v>gitlab-org/ai/skills</x:v>
      </x:c>
      <x:c r="H19" s="14" t="str">
        <x:v>https://gitlab.com/gitlab-org/ai/skills/-/blob/aa0aec4a0425e234f9343687683289bee69e89ed/skills/mr-guided-review/SKILL.md</x:v>
      </x:c>
      <x:c r="I19" s="14" t="str">
        <x:v>先理解合并请求目标，再进行只读代码审查并由人工发布反馈。</x:v>
      </x:c>
      <x:c r="J19" s="14" t="str">
        <x:v>计算机科学与技术、软件工程、网络工程、电子与计算机工程、新媒体技术</x:v>
      </x:c>
      <x:c r="K19" s="16" t="str">
        <x:v>专业核心 / 跨专业通用</x:v>
      </x:c>
      <x:c r="L19" s="16" t="str">
        <x:v>SB</x:v>
      </x:c>
      <x:c r="M19" s="16" t="str">
        <x:v>限制使用</x:v>
      </x:c>
      <x:c r="N19" s="14" t="str">
        <x:v>未见随包可执行载荷；主要为说明、模板或参考资料</x:v>
      </x:c>
      <x:c r="O19" s="14" t="str">
        <x:v>包含上传、发布、推送、部署或其他外部状态行为</x:v>
      </x:c>
      <x:c r="P19" s="14" t="str">
        <x:v>在隔离项目目录内使用，所有状态改变均需人工确认；禁止自动上传、发布、推送、部署、评论或付费任务。</x:v>
      </x:c>
      <x:c r="Q19" s="14" t="str">
        <x:v>完整说明与已审资源；执行步骤仍受限制条件约束</x:v>
      </x:c>
      <x:c r="R19" s="14" t="str">
        <x:v>无强制剥离；按限制条件禁用越权步骤</x:v>
      </x:c>
      <x:c r="S19" s="16" t="str">
        <x:v>中</x:v>
      </x:c>
      <x:c r="T19" s="16" t="str">
        <x:v>MIT</x:v>
      </x:c>
      <x:c r="U19" s="16" t="str">
        <x:v>aa0aec4a0425e234f9343687683289bee69e89ed</x:v>
      </x:c>
      <x:c r="V19" s="16" t="str">
        <x:v>2026-08-07</x:v>
      </x:c>
      <x:c r="W19" s="16" t="str">
        <x:v>2026-08-07</x:v>
      </x:c>
      <x:c r="X19" s="16" t="n">
        <x:v>1</x:v>
      </x:c>
      <x:c r="Y19" s="16" t="n">
        <x:v>0</x:v>
      </x:c>
      <x:c r="Z19" s="14" t="str">
        <x:v>静态三级验证：读取入口、枚举包结构、扫描脚本/依赖/网络/凭据/写入；未运行。</x:v>
      </x:c>
    </x:row>
    <x:row r="20" ht="74" customHeight="1">
      <x:c r="A20" s="15" t="n">
        <x:v>16</x:v>
      </x:c>
      <x:c r="B20" s="15" t="str">
        <x:v>DISC-0809-0016</x:v>
      </x:c>
      <x:c r="C20" s="14" t="str">
        <x:v>B 软件工程</x:v>
      </x:c>
      <x:c r="D20" s="14" t="str">
        <x:v>精简架构审查</x:v>
      </x:c>
      <x:c r="E20" s="14" t="str">
        <x:v>lazy-architect</x:v>
      </x:c>
      <x:c r="F20" s="16" t="str">
        <x:v>GitLab</x:v>
      </x:c>
      <x:c r="G20" s="14" t="str">
        <x:v>ska-telescope/ska-ai-skills</x:v>
      </x:c>
      <x:c r="H20" s="14" t="str">
        <x:v>https://gitlab.com/ska-telescope/ska-ai-skills/-/blob/974ae9d2296d649fdcbd54962a71a065aef2a749/skills/lazy-architect/SKILL.md</x:v>
      </x:c>
      <x:c r="I20" s="14" t="str">
        <x:v>识别过度设计、投机抽象和无收益层次，提出减法式架构方案。</x:v>
      </x:c>
      <x:c r="J20" s="14" t="str">
        <x:v>计算机科学与技术、软件工程、网络工程、电子与计算机工程、新媒体技术</x:v>
      </x:c>
      <x:c r="K20" s="16" t="str">
        <x:v>专业核心 / 跨专业通用</x:v>
      </x:c>
      <x:c r="L20" s="16" t="str">
        <x:v>SA</x:v>
      </x:c>
      <x:c r="M20" s="16" t="str">
        <x:v>原包可用</x:v>
      </x:c>
      <x:c r="N20" s="14" t="str">
        <x:v>含文件写入示例或实现</x:v>
      </x:c>
      <x:c r="O20" s="14" t="str">
        <x:v>包含外部链接、下载、API 或网络访问说明</x:v>
      </x:c>
      <x:c r="P20" s="14" t="str">
        <x:v>按只读说明/模板使用；仍需人工复核生成内容，不自动提交、发布或替代课程评价。</x:v>
      </x:c>
      <x:c r="Q20" s="14" t="str">
        <x:v>完整说明与已审资源；执行步骤仍受限制条件约束</x:v>
      </x:c>
      <x:c r="R20" s="14" t="str">
        <x:v>无强制剥离；按限制条件禁用越权步骤</x:v>
      </x:c>
      <x:c r="S20" s="16" t="str">
        <x:v>中</x:v>
      </x:c>
      <x:c r="T20" s="16" t="str">
        <x:v>BSD-3-Clause</x:v>
      </x:c>
      <x:c r="U20" s="16" t="str">
        <x:v>974ae9d2296d649fdcbd54962a71a065aef2a749</x:v>
      </x:c>
      <x:c r="V20" s="16" t="str">
        <x:v>2026-07-22</x:v>
      </x:c>
      <x:c r="W20" s="16" t="str">
        <x:v>2026-08-07</x:v>
      </x:c>
      <x:c r="X20" s="16" t="n">
        <x:v>2</x:v>
      </x:c>
      <x:c r="Y20" s="16" t="n">
        <x:v>0</x:v>
      </x:c>
      <x:c r="Z20" s="14" t="str">
        <x:v>静态三级验证：读取入口、枚举包结构、扫描脚本/依赖/网络/凭据/写入；未运行。</x:v>
      </x:c>
    </x:row>
    <x:row r="21" ht="74" customHeight="1">
      <x:c r="A21" s="15" t="n">
        <x:v>17</x:v>
      </x:c>
      <x:c r="B21" s="15" t="str">
        <x:v>DISC-0809-0017</x:v>
      </x:c>
      <x:c r="C21" s="14" t="str">
        <x:v>B 软件工程</x:v>
      </x:c>
      <x:c r="D21" s="14" t="str">
        <x:v>工程多智能体编排</x:v>
      </x:c>
      <x:c r="E21" s="14" t="str">
        <x:v>ska-multi-agent-orchestration</x:v>
      </x:c>
      <x:c r="F21" s="16" t="str">
        <x:v>GitLab</x:v>
      </x:c>
      <x:c r="G21" s="14" t="str">
        <x:v>ska-telescope/ska-ai-skills</x:v>
      </x:c>
      <x:c r="H21" s="14" t="str">
        <x:v>https://gitlab.com/ska-telescope/ska-ai-skills/-/blob/974ae9d2296d649fdcbd54962a71a065aef2a749/skills/ska-multi-agent-orchestration/SKILL.md</x:v>
      </x:c>
      <x:c r="I21" s="14" t="str">
        <x:v>以计划—构建—审查—人工批准组织复杂工程交付。</x:v>
      </x:c>
      <x:c r="J21" s="14" t="str">
        <x:v>计算机科学与技术、软件工程、网络工程、电子与计算机工程、新媒体技术</x:v>
      </x:c>
      <x:c r="K21" s="16" t="str">
        <x:v>跨专业通用 / 员工支持</x:v>
      </x:c>
      <x:c r="L21" s="16" t="str">
        <x:v>SB</x:v>
      </x:c>
      <x:c r="M21" s="16" t="str">
        <x:v>限制使用</x:v>
      </x:c>
      <x:c r="N21" s="14" t="str">
        <x:v>未见随包可执行载荷；主要为说明、模板或参考资料</x:v>
      </x:c>
      <x:c r="O21" s="14" t="str">
        <x:v>包含外部链接、下载、API 或网络访问说明；涉及凭据、令牌或秘密管理语境；包含上传、发布、推送、部署或其他外部状态行为</x:v>
      </x:c>
      <x:c r="P21" s="14" t="str">
        <x:v>在隔离项目目录内使用，所有状态改变均需人工确认；默认断网；确需联网时只开放已核准域名且不得发送校内敏感数据；不得读取或回显现有凭据，令牌由用户侧最小权限注入；禁止自动上传、发布、推送、部署、评论或付费任务。</x:v>
      </x:c>
      <x:c r="Q21" s="14" t="str">
        <x:v>完整说明与已审资源；执行步骤仍受限制条件约束</x:v>
      </x:c>
      <x:c r="R21" s="14" t="str">
        <x:v>无强制剥离；按限制条件禁用越权步骤</x:v>
      </x:c>
      <x:c r="S21" s="16" t="str">
        <x:v>中</x:v>
      </x:c>
      <x:c r="T21" s="16" t="str">
        <x:v>BSD-3-Clause</x:v>
      </x:c>
      <x:c r="U21" s="16" t="str">
        <x:v>974ae9d2296d649fdcbd54962a71a065aef2a749</x:v>
      </x:c>
      <x:c r="V21" s="16" t="str">
        <x:v>2026-07-22</x:v>
      </x:c>
      <x:c r="W21" s="16" t="str">
        <x:v>2026-08-07</x:v>
      </x:c>
      <x:c r="X21" s="16" t="n">
        <x:v>2</x:v>
      </x:c>
      <x:c r="Y21" s="16" t="n">
        <x:v>0</x:v>
      </x:c>
      <x:c r="Z21" s="14" t="str">
        <x:v>静态三级验证：读取入口、枚举包结构、扫描脚本/依赖/网络/凭据/写入；未运行。</x:v>
      </x:c>
    </x:row>
    <x:row r="22" ht="74" customHeight="1">
      <x:c r="A22" s="15" t="n">
        <x:v>18</x:v>
      </x:c>
      <x:c r="B22" s="15" t="str">
        <x:v>DISC-0809-0018</x:v>
      </x:c>
      <x:c r="C22" s="14" t="str">
        <x:v>B 软件工程</x:v>
      </x:c>
      <x:c r="D22" s="14" t="str">
        <x:v>API 与接口设计</x:v>
      </x:c>
      <x:c r="E22" s="14" t="str">
        <x:v>api-and-interface-design</x:v>
      </x:c>
      <x:c r="F22" s="16" t="str">
        <x:v>GitHub</x:v>
      </x:c>
      <x:c r="G22" s="14" t="str">
        <x:v>addyosmani/agent-skills</x:v>
      </x:c>
      <x:c r="H22" s="14" t="str">
        <x:v>https://github.com/addyosmani/agent-skills/blob/d2478bf0c73a6357df39a3ed6aff16acaa218843/skills/api-and-interface-design/SKILL.md</x:v>
      </x:c>
      <x:c r="I22" s="14" t="str">
        <x:v>以契约、兼容性、错误模型和演进策略设计 REST、GraphQL 与内部接口。</x:v>
      </x:c>
      <x:c r="J22" s="14" t="str">
        <x:v>计算机科学与技术、软件工程、网络工程、电子与计算机工程、新媒体技术</x:v>
      </x:c>
      <x:c r="K22" s="16" t="str">
        <x:v>专业核心 / 跨专业通用</x:v>
      </x:c>
      <x:c r="L22" s="16" t="str">
        <x:v>SB</x:v>
      </x:c>
      <x:c r="M22" s="16" t="str">
        <x:v>限制使用</x:v>
      </x:c>
      <x:c r="N22" s="14" t="str">
        <x:v>含文件写入示例或实现；含删除相关示例</x:v>
      </x:c>
      <x:c r="O22" s="14" t="str">
        <x:v>未见必要的凭据或外部写入行为</x:v>
      </x:c>
      <x:c r="P22" s="14" t="str">
        <x:v>在隔离项目目录内使用，所有状态改变均需人工确认；输出限于显式指定的新目录，禁止覆盖原文件；删除命令从适配版剥离。</x:v>
      </x:c>
      <x:c r="Q22" s="14" t="str">
        <x:v>完整说明与已审资源；执行步骤仍受限制条件约束</x:v>
      </x:c>
      <x:c r="R22" s="14" t="str">
        <x:v>无强制剥离；按限制条件禁用越权步骤</x:v>
      </x:c>
      <x:c r="S22" s="16" t="str">
        <x:v>中</x:v>
      </x:c>
      <x:c r="T22" s="16" t="str">
        <x:v>MIT</x:v>
      </x:c>
      <x:c r="U22" s="16" t="str">
        <x:v>d2478bf0c73a6357df39a3ed6aff16acaa218843</x:v>
      </x:c>
      <x:c r="V22" s="16" t="str">
        <x:v>2026-08-06</x:v>
      </x:c>
      <x:c r="W22" s="16" t="str">
        <x:v>2026-08-07</x:v>
      </x:c>
      <x:c r="X22" s="16" t="n">
        <x:v>1</x:v>
      </x:c>
      <x:c r="Y22" s="16" t="n">
        <x:v>0</x:v>
      </x:c>
      <x:c r="Z22" s="14" t="str">
        <x:v>静态三级验证：读取入口、枚举包结构、扫描脚本/依赖/网络/凭据/写入；未运行。</x:v>
      </x:c>
    </x:row>
    <x:row r="23" ht="74" customHeight="1">
      <x:c r="A23" s="15" t="n">
        <x:v>19</x:v>
      </x:c>
      <x:c r="B23" s="15" t="str">
        <x:v>DISC-0809-0019</x:v>
      </x:c>
      <x:c r="C23" s="14" t="str">
        <x:v>B 软件工程</x:v>
      </x:c>
      <x:c r="D23" s="14" t="str">
        <x:v>浏览器 DevTools 测试</x:v>
      </x:c>
      <x:c r="E23" s="14" t="str">
        <x:v>browser-testing-with-devtools</x:v>
      </x:c>
      <x:c r="F23" s="16" t="str">
        <x:v>GitHub</x:v>
      </x:c>
      <x:c r="G23" s="14" t="str">
        <x:v>addyosmani/agent-skills</x:v>
      </x:c>
      <x:c r="H23" s="14" t="str">
        <x:v>https://github.com/addyosmani/agent-skills/blob/d2478bf0c73a6357df39a3ed6aff16acaa218843/skills/browser-testing-with-devtools/SKILL.md</x:v>
      </x:c>
      <x:c r="I23" s="14" t="str">
        <x:v>使用浏览器开发者工具完成页面检查、网络诊断、性能观察与交互验证。</x:v>
      </x:c>
      <x:c r="J23" s="14" t="str">
        <x:v>计算机科学与技术、软件工程、网络工程、电子与计算机工程、新媒体技术</x:v>
      </x:c>
      <x:c r="K23" s="16" t="str">
        <x:v>专业核心 / 跨专业通用</x:v>
      </x:c>
      <x:c r="L23" s="16" t="str">
        <x:v>SB-A</x:v>
      </x:c>
      <x:c r="M23" s="16" t="str">
        <x:v>仅适配后使用</x:v>
      </x:c>
      <x:c r="N23" s="14" t="str">
        <x:v>未见随包可执行载荷；主要为说明、模板或参考资料</x:v>
      </x:c>
      <x:c r="O23" s="14" t="str">
        <x:v>包含外部链接、下载、API 或网络访问说明；涉及凭据、令牌或秘密管理语境</x:v>
      </x:c>
      <x:c r="P23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。</x:v>
      </x:c>
      <x:c r="Q23" s="14" t="str">
        <x:v>SKILL.md、说明型 references 与非可执行模板；脚本仅在逐文件复核且固定依赖后单独启用</x:v>
      </x:c>
      <x:c r="R23" s="14" t="str">
        <x:v>移除未锁安装、下载后执行、自动上传/发布/推送/部署、凭据读取和高权限命令；不整包安装</x:v>
      </x:c>
      <x:c r="S23" s="16" t="str">
        <x:v>中</x:v>
      </x:c>
      <x:c r="T23" s="16" t="str">
        <x:v>MIT</x:v>
      </x:c>
      <x:c r="U23" s="16" t="str">
        <x:v>d2478bf0c73a6357df39a3ed6aff16acaa218843</x:v>
      </x:c>
      <x:c r="V23" s="16" t="str">
        <x:v>2026-08-06</x:v>
      </x:c>
      <x:c r="W23" s="16" t="str">
        <x:v>2026-08-07</x:v>
      </x:c>
      <x:c r="X23" s="16" t="n">
        <x:v>1</x:v>
      </x:c>
      <x:c r="Y23" s="16" t="n">
        <x:v>0</x:v>
      </x:c>
      <x:c r="Z23" s="14" t="str">
        <x:v>静态三级验证：读取入口、枚举包结构、扫描脚本/依赖/网络/凭据/写入；未运行。</x:v>
      </x:c>
    </x:row>
    <x:row r="24" ht="74" customHeight="1">
      <x:c r="A24" s="15" t="n">
        <x:v>20</x:v>
      </x:c>
      <x:c r="B24" s="15" t="str">
        <x:v>DISC-0809-0020</x:v>
      </x:c>
      <x:c r="C24" s="14" t="str">
        <x:v>B 软件工程</x:v>
      </x:c>
      <x:c r="D24" s="14" t="str">
        <x:v>CI/CD 与工程自动化</x:v>
      </x:c>
      <x:c r="E24" s="14" t="str">
        <x:v>ci-cd-and-automation</x:v>
      </x:c>
      <x:c r="F24" s="16" t="str">
        <x:v>GitHub</x:v>
      </x:c>
      <x:c r="G24" s="14" t="str">
        <x:v>addyosmani/agent-skills</x:v>
      </x:c>
      <x:c r="H24" s="14" t="str">
        <x:v>https://github.com/addyosmani/agent-skills/blob/d2478bf0c73a6357df39a3ed6aff16acaa218843/skills/ci-cd-and-automation/SKILL.md</x:v>
      </x:c>
      <x:c r="I24" s="14" t="str">
        <x:v>规划持续集成、质量门禁、构建制品、部署和回滚的自动化流水线。</x:v>
      </x:c>
      <x:c r="J24" s="14" t="str">
        <x:v>计算机科学与技术、软件工程、网络工程、电子与计算机工程、新媒体技术</x:v>
      </x:c>
      <x:c r="K24" s="16" t="str">
        <x:v>专业核心 / 跨专业通用</x:v>
      </x:c>
      <x:c r="L24" s="16" t="str">
        <x:v>SB-A</x:v>
      </x:c>
      <x:c r="M24" s="16" t="str">
        <x:v>仅适配后使用</x:v>
      </x:c>
      <x:c r="N24" s="14" t="str">
        <x:v>含文件写入示例或实现</x:v>
      </x:c>
      <x:c r="O24" s="14" t="str">
        <x:v>包含外部链接、下载、API 或网络访问说明；涉及凭据、令牌或秘密管理语境；包含上传、发布、推送、部署或其他外部状态行为</x:v>
      </x:c>
      <x:c r="P24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；输出限于显式指定的新目录，禁止覆盖原文件；禁止自动上传、发布、推送、部署、评论或付费任务。</x:v>
      </x:c>
      <x:c r="Q24" s="14" t="str">
        <x:v>SKILL.md、说明型 references 与非可执行模板；脚本仅在逐文件复核且固定依赖后单独启用</x:v>
      </x:c>
      <x:c r="R24" s="14" t="str">
        <x:v>移除未锁安装、下载后执行、自动上传/发布/推送/部署、凭据读取和高权限命令；不整包安装</x:v>
      </x:c>
      <x:c r="S24" s="16" t="str">
        <x:v>中</x:v>
      </x:c>
      <x:c r="T24" s="16" t="str">
        <x:v>MIT</x:v>
      </x:c>
      <x:c r="U24" s="16" t="str">
        <x:v>d2478bf0c73a6357df39a3ed6aff16acaa218843</x:v>
      </x:c>
      <x:c r="V24" s="16" t="str">
        <x:v>2026-08-06</x:v>
      </x:c>
      <x:c r="W24" s="16" t="str">
        <x:v>2026-08-07</x:v>
      </x:c>
      <x:c r="X24" s="16" t="n">
        <x:v>1</x:v>
      </x:c>
      <x:c r="Y24" s="16" t="n">
        <x:v>0</x:v>
      </x:c>
      <x:c r="Z24" s="14" t="str">
        <x:v>静态三级验证：读取入口、枚举包结构、扫描脚本/依赖/网络/凭据/写入；未运行。</x:v>
      </x:c>
    </x:row>
    <x:row r="25" ht="74" customHeight="1">
      <x:c r="A25" s="15" t="n">
        <x:v>21</x:v>
      </x:c>
      <x:c r="B25" s="15" t="str">
        <x:v>DISC-0809-0021</x:v>
      </x:c>
      <x:c r="C25" s="14" t="str">
        <x:v>B 软件工程</x:v>
      </x:c>
      <x:c r="D25" s="14" t="str">
        <x:v>代码审查与质量控制</x:v>
      </x:c>
      <x:c r="E25" s="14" t="str">
        <x:v>code-review-and-quality</x:v>
      </x:c>
      <x:c r="F25" s="16" t="str">
        <x:v>GitHub</x:v>
      </x:c>
      <x:c r="G25" s="14" t="str">
        <x:v>addyosmani/agent-skills</x:v>
      </x:c>
      <x:c r="H25" s="14" t="str">
        <x:v>https://github.com/addyosmani/agent-skills/blob/d2478bf0c73a6357df39a3ed6aff16acaa218843/skills/code-review-and-quality/SKILL.md</x:v>
      </x:c>
      <x:c r="I25" s="14" t="str">
        <x:v>按正确性、安全性、可维护性和测试证据系统审查代码变更。</x:v>
      </x:c>
      <x:c r="J25" s="14" t="str">
        <x:v>计算机科学与技术、软件工程、网络工程、电子与计算机工程、新媒体技术</x:v>
      </x:c>
      <x:c r="K25" s="16" t="str">
        <x:v>专业核心 / 跨专业通用</x:v>
      </x:c>
      <x:c r="L25" s="16" t="str">
        <x:v>SB</x:v>
      </x:c>
      <x:c r="M25" s="16" t="str">
        <x:v>限制使用</x:v>
      </x:c>
      <x:c r="N25" s="14" t="str">
        <x:v>未见随包可执行载荷；主要为说明、模板或参考资料</x:v>
      </x:c>
      <x:c r="O25" s="14" t="str">
        <x:v>涉及凭据、令牌或秘密管理语境；包含上传、发布、推送、部署或其他外部状态行为</x:v>
      </x:c>
      <x:c r="P25" s="14" t="str">
        <x:v>在隔离项目目录内使用，所有状态改变均需人工确认；不得读取或回显现有凭据，令牌由用户侧最小权限注入；禁止自动上传、发布、推送、部署、评论或付费任务。</x:v>
      </x:c>
      <x:c r="Q25" s="14" t="str">
        <x:v>完整说明与已审资源；执行步骤仍受限制条件约束</x:v>
      </x:c>
      <x:c r="R25" s="14" t="str">
        <x:v>无强制剥离；按限制条件禁用越权步骤</x:v>
      </x:c>
      <x:c r="S25" s="16" t="str">
        <x:v>高</x:v>
      </x:c>
      <x:c r="T25" s="16" t="str">
        <x:v>MIT</x:v>
      </x:c>
      <x:c r="U25" s="16" t="str">
        <x:v>d2478bf0c73a6357df39a3ed6aff16acaa218843</x:v>
      </x:c>
      <x:c r="V25" s="16" t="str">
        <x:v>2026-08-06</x:v>
      </x:c>
      <x:c r="W25" s="16" t="str">
        <x:v>2026-08-07</x:v>
      </x:c>
      <x:c r="X25" s="16" t="n">
        <x:v>1</x:v>
      </x:c>
      <x:c r="Y25" s="16" t="n">
        <x:v>0</x:v>
      </x:c>
      <x:c r="Z25" s="14" t="str">
        <x:v>静态三级验证：读取入口、枚举包结构、扫描脚本/依赖/网络/凭据/写入；未运行。</x:v>
      </x:c>
    </x:row>
    <x:row r="26" ht="74" customHeight="1">
      <x:c r="A26" s="15" t="n">
        <x:v>22</x:v>
      </x:c>
      <x:c r="B26" s="15" t="str">
        <x:v>DISC-0809-0022</x:v>
      </x:c>
      <x:c r="C26" s="14" t="str">
        <x:v>B 软件工程</x:v>
      </x:c>
      <x:c r="D26" s="14" t="str">
        <x:v>代码简化</x:v>
      </x:c>
      <x:c r="E26" s="14" t="str">
        <x:v>code-simplification</x:v>
      </x:c>
      <x:c r="F26" s="16" t="str">
        <x:v>GitHub</x:v>
      </x:c>
      <x:c r="G26" s="14" t="str">
        <x:v>addyosmani/agent-skills</x:v>
      </x:c>
      <x:c r="H26" s="14" t="str">
        <x:v>https://github.com/addyosmani/agent-skills/blob/d2478bf0c73a6357df39a3ed6aff16acaa218843/skills/code-simplification/SKILL.md</x:v>
      </x:c>
      <x:c r="I26" s="14" t="str">
        <x:v>识别不必要抽象、重复和复杂控制流，并提出可验证的简化方案。</x:v>
      </x:c>
      <x:c r="J26" s="14" t="str">
        <x:v>计算机科学与技术、软件工程、网络工程、电子与计算机工程、新媒体技术</x:v>
      </x:c>
      <x:c r="K26" s="16" t="str">
        <x:v>专业核心 / 跨专业通用</x:v>
      </x:c>
      <x:c r="L26" s="16" t="str">
        <x:v>SB</x:v>
      </x:c>
      <x:c r="M26" s="16" t="str">
        <x:v>限制使用</x:v>
      </x:c>
      <x:c r="N26" s="14" t="str">
        <x:v>含文件写入示例或实现</x:v>
      </x:c>
      <x:c r="O26" s="14" t="str">
        <x:v>包含外部链接、下载、API 或网络访问说明</x:v>
      </x:c>
      <x:c r="P26" s="14" t="str">
        <x:v>在隔离项目目录内使用，所有状态改变均需人工确认；默认断网；确需联网时只开放已核准域名且不得发送校内敏感数据；输出限于显式指定的新目录，禁止覆盖原文件。</x:v>
      </x:c>
      <x:c r="Q26" s="14" t="str">
        <x:v>完整说明与已审资源；执行步骤仍受限制条件约束</x:v>
      </x:c>
      <x:c r="R26" s="14" t="str">
        <x:v>无强制剥离；按限制条件禁用越权步骤</x:v>
      </x:c>
      <x:c r="S26" s="16" t="str">
        <x:v>中</x:v>
      </x:c>
      <x:c r="T26" s="16" t="str">
        <x:v>MIT</x:v>
      </x:c>
      <x:c r="U26" s="16" t="str">
        <x:v>d2478bf0c73a6357df39a3ed6aff16acaa218843</x:v>
      </x:c>
      <x:c r="V26" s="16" t="str">
        <x:v>2026-08-06</x:v>
      </x:c>
      <x:c r="W26" s="16" t="str">
        <x:v>2026-08-07</x:v>
      </x:c>
      <x:c r="X26" s="16" t="n">
        <x:v>1</x:v>
      </x:c>
      <x:c r="Y26" s="16" t="n">
        <x:v>0</x:v>
      </x:c>
      <x:c r="Z26" s="14" t="str">
        <x:v>静态三级验证：读取入口、枚举包结构、扫描脚本/依赖/网络/凭据/写入；未运行。</x:v>
      </x:c>
    </x:row>
    <x:row r="27" ht="74" customHeight="1">
      <x:c r="A27" s="15" t="n">
        <x:v>23</x:v>
      </x:c>
      <x:c r="B27" s="15" t="str">
        <x:v>DISC-0809-0023</x:v>
      </x:c>
      <x:c r="C27" s="14" t="str">
        <x:v>B 软件工程</x:v>
      </x:c>
      <x:c r="D27" s="14" t="str">
        <x:v>调试与错误恢复</x:v>
      </x:c>
      <x:c r="E27" s="14" t="str">
        <x:v>debugging-and-error-recovery</x:v>
      </x:c>
      <x:c r="F27" s="16" t="str">
        <x:v>GitHub</x:v>
      </x:c>
      <x:c r="G27" s="14" t="str">
        <x:v>addyosmani/agent-skills</x:v>
      </x:c>
      <x:c r="H27" s="14" t="str">
        <x:v>https://github.com/addyosmani/agent-skills/blob/d2478bf0c73a6357df39a3ed6aff16acaa218843/skills/debugging-and-error-recovery/SKILL.md</x:v>
      </x:c>
      <x:c r="I27" s="14" t="str">
        <x:v>从证据出发复现、定位、修复问题，并验证恢复路径。</x:v>
      </x:c>
      <x:c r="J27" s="14" t="str">
        <x:v>计算机科学与技术、软件工程、网络工程、电子与计算机工程、新媒体技术</x:v>
      </x:c>
      <x:c r="K27" s="16" t="str">
        <x:v>专业核心 / 跨专业通用</x:v>
      </x:c>
      <x:c r="L27" s="16" t="str">
        <x:v>SB</x:v>
      </x:c>
      <x:c r="M27" s="16" t="str">
        <x:v>限制使用</x:v>
      </x:c>
      <x:c r="N27" s="14" t="str">
        <x:v>未见随包可执行载荷；主要为说明、模板或参考资料</x:v>
      </x:c>
      <x:c r="O27" s="14" t="str">
        <x:v>包含外部链接、下载、API 或网络访问说明；涉及凭据、令牌或秘密管理语境</x:v>
      </x:c>
      <x:c r="P27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。</x:v>
      </x:c>
      <x:c r="Q27" s="14" t="str">
        <x:v>完整说明与已审资源；执行步骤仍受限制条件约束</x:v>
      </x:c>
      <x:c r="R27" s="14" t="str">
        <x:v>无强制剥离；按限制条件禁用越权步骤</x:v>
      </x:c>
      <x:c r="S27" s="16" t="str">
        <x:v>中</x:v>
      </x:c>
      <x:c r="T27" s="16" t="str">
        <x:v>MIT</x:v>
      </x:c>
      <x:c r="U27" s="16" t="str">
        <x:v>d2478bf0c73a6357df39a3ed6aff16acaa218843</x:v>
      </x:c>
      <x:c r="V27" s="16" t="str">
        <x:v>2026-08-06</x:v>
      </x:c>
      <x:c r="W27" s="16" t="str">
        <x:v>2026-08-07</x:v>
      </x:c>
      <x:c r="X27" s="16" t="n">
        <x:v>1</x:v>
      </x:c>
      <x:c r="Y27" s="16" t="n">
        <x:v>0</x:v>
      </x:c>
      <x:c r="Z27" s="14" t="str">
        <x:v>静态三级验证：读取入口、枚举包结构、扫描脚本/依赖/网络/凭据/写入；未运行。</x:v>
      </x:c>
    </x:row>
    <x:row r="28" ht="74" customHeight="1">
      <x:c r="A28" s="15" t="n">
        <x:v>24</x:v>
      </x:c>
      <x:c r="B28" s="15" t="str">
        <x:v>DISC-0809-0024</x:v>
      </x:c>
      <x:c r="C28" s="14" t="str">
        <x:v>B 软件工程</x:v>
      </x:c>
      <x:c r="D28" s="14" t="str">
        <x:v>工程文档与 ADR</x:v>
      </x:c>
      <x:c r="E28" s="14" t="str">
        <x:v>documentation-and-adrs</x:v>
      </x:c>
      <x:c r="F28" s="16" t="str">
        <x:v>GitHub</x:v>
      </x:c>
      <x:c r="G28" s="14" t="str">
        <x:v>addyosmani/agent-skills</x:v>
      </x:c>
      <x:c r="H28" s="14" t="str">
        <x:v>https://github.com/addyosmani/agent-skills/blob/d2478bf0c73a6357df39a3ed6aff16acaa218843/skills/documentation-and-adrs/SKILL.md</x:v>
      </x:c>
      <x:c r="I28" s="14" t="str">
        <x:v>编写面向维护者的技术文档和可追溯架构决策记录。</x:v>
      </x:c>
      <x:c r="J28" s="14" t="str">
        <x:v>计算机科学与技术、软件工程、网络工程、电子与计算机工程、新媒体技术</x:v>
      </x:c>
      <x:c r="K28" s="16" t="str">
        <x:v>跨专业通用 / 员工支持</x:v>
      </x:c>
      <x:c r="L28" s="16" t="str">
        <x:v>SB</x:v>
      </x:c>
      <x:c r="M28" s="16" t="str">
        <x:v>限制使用</x:v>
      </x:c>
      <x:c r="N28" s="14" t="str">
        <x:v>含文件写入示例或实现</x:v>
      </x:c>
      <x:c r="O28" s="14" t="str">
        <x:v>涉及凭据、令牌或秘密管理语境</x:v>
      </x:c>
      <x:c r="P28" s="14" t="str">
        <x:v>在隔离项目目录内使用，所有状态改变均需人工确认；移除未锁版本安装与远程执行示例，依赖固定版本和哈希；不得读取或回显现有凭据，令牌由用户侧最小权限注入；输出限于显式指定的新目录，禁止覆盖原文件。</x:v>
      </x:c>
      <x:c r="Q28" s="14" t="str">
        <x:v>完整说明与已审资源；执行步骤仍受限制条件约束</x:v>
      </x:c>
      <x:c r="R28" s="14" t="str">
        <x:v>无强制剥离；按限制条件禁用越权步骤</x:v>
      </x:c>
      <x:c r="S28" s="16" t="str">
        <x:v>中</x:v>
      </x:c>
      <x:c r="T28" s="16" t="str">
        <x:v>MIT</x:v>
      </x:c>
      <x:c r="U28" s="16" t="str">
        <x:v>d2478bf0c73a6357df39a3ed6aff16acaa218843</x:v>
      </x:c>
      <x:c r="V28" s="16" t="str">
        <x:v>2026-08-06</x:v>
      </x:c>
      <x:c r="W28" s="16" t="str">
        <x:v>2026-08-07</x:v>
      </x:c>
      <x:c r="X28" s="16" t="n">
        <x:v>1</x:v>
      </x:c>
      <x:c r="Y28" s="16" t="n">
        <x:v>0</x:v>
      </x:c>
      <x:c r="Z28" s="14" t="str">
        <x:v>静态三级验证：读取入口、枚举包结构、扫描脚本/依赖/网络/凭据/写入；未运行。</x:v>
      </x:c>
    </x:row>
    <x:row r="29" ht="74" customHeight="1">
      <x:c r="A29" s="15" t="n">
        <x:v>25</x:v>
      </x:c>
      <x:c r="B29" s="15" t="str">
        <x:v>DISC-0809-0025</x:v>
      </x:c>
      <x:c r="C29" s="14" t="str">
        <x:v>B 软件工程</x:v>
      </x:c>
      <x:c r="D29" s="14" t="str">
        <x:v>Git 工作流与版本管理</x:v>
      </x:c>
      <x:c r="E29" s="14" t="str">
        <x:v>git-workflow-and-versioning</x:v>
      </x:c>
      <x:c r="F29" s="16" t="str">
        <x:v>GitHub</x:v>
      </x:c>
      <x:c r="G29" s="14" t="str">
        <x:v>addyosmani/agent-skills</x:v>
      </x:c>
      <x:c r="H29" s="14" t="str">
        <x:v>https://github.com/addyosmani/agent-skills/blob/d2478bf0c73a6357df39a3ed6aff16acaa218843/skills/git-workflow-and-versioning/SKILL.md</x:v>
      </x:c>
      <x:c r="I29" s="14" t="str">
        <x:v>规范分支、提交、合并、版本标记和变更历史。</x:v>
      </x:c>
      <x:c r="J29" s="14" t="str">
        <x:v>计算机科学与技术、软件工程、网络工程、电子与计算机工程、新媒体技术</x:v>
      </x:c>
      <x:c r="K29" s="16" t="str">
        <x:v>专业核心 / 跨专业通用</x:v>
      </x:c>
      <x:c r="L29" s="16" t="str">
        <x:v>SB</x:v>
      </x:c>
      <x:c r="M29" s="16" t="str">
        <x:v>限制使用</x:v>
      </x:c>
      <x:c r="N29" s="14" t="str">
        <x:v>含文件写入示例或实现</x:v>
      </x:c>
      <x:c r="O29" s="14" t="str">
        <x:v>涉及凭据、令牌或秘密管理语境；包含上传、发布、推送、部署或其他外部状态行为</x:v>
      </x:c>
      <x:c r="P29" s="14" t="str">
        <x:v>在隔离项目目录内使用，所有状态改变均需人工确认；不得读取或回显现有凭据，令牌由用户侧最小权限注入；输出限于显式指定的新目录，禁止覆盖原文件；禁止自动上传、发布、推送、部署、评论或付费任务。</x:v>
      </x:c>
      <x:c r="Q29" s="14" t="str">
        <x:v>完整说明与已审资源；执行步骤仍受限制条件约束</x:v>
      </x:c>
      <x:c r="R29" s="14" t="str">
        <x:v>无强制剥离；按限制条件禁用越权步骤</x:v>
      </x:c>
      <x:c r="S29" s="16" t="str">
        <x:v>中</x:v>
      </x:c>
      <x:c r="T29" s="16" t="str">
        <x:v>MIT</x:v>
      </x:c>
      <x:c r="U29" s="16" t="str">
        <x:v>d2478bf0c73a6357df39a3ed6aff16acaa218843</x:v>
      </x:c>
      <x:c r="V29" s="16" t="str">
        <x:v>2026-08-06</x:v>
      </x:c>
      <x:c r="W29" s="16" t="str">
        <x:v>2026-08-07</x:v>
      </x:c>
      <x:c r="X29" s="16" t="n">
        <x:v>1</x:v>
      </x:c>
      <x:c r="Y29" s="16" t="n">
        <x:v>0</x:v>
      </x:c>
      <x:c r="Z29" s="14" t="str">
        <x:v>静态三级验证：读取入口、枚举包结构、扫描脚本/依赖/网络/凭据/写入；未运行。</x:v>
      </x:c>
    </x:row>
    <x:row r="30" ht="74" customHeight="1">
      <x:c r="A30" s="15" t="n">
        <x:v>26</x:v>
      </x:c>
      <x:c r="B30" s="15" t="str">
        <x:v>DISC-0809-0026</x:v>
      </x:c>
      <x:c r="C30" s="14" t="str">
        <x:v>B 软件工程</x:v>
      </x:c>
      <x:c r="D30" s="14" t="str">
        <x:v>增量实现</x:v>
      </x:c>
      <x:c r="E30" s="14" t="str">
        <x:v>incremental-implementation</x:v>
      </x:c>
      <x:c r="F30" s="16" t="str">
        <x:v>GitHub</x:v>
      </x:c>
      <x:c r="G30" s="14" t="str">
        <x:v>addyosmani/agent-skills</x:v>
      </x:c>
      <x:c r="H30" s="14" t="str">
        <x:v>https://github.com/addyosmani/agent-skills/blob/d2478bf0c73a6357df39a3ed6aff16acaa218843/skills/incremental-implementation/SKILL.md</x:v>
      </x:c>
      <x:c r="I30" s="14" t="str">
        <x:v>把复杂功能切成可审查、可测试、可回滚的小步交付。</x:v>
      </x:c>
      <x:c r="J30" s="14" t="str">
        <x:v>计算机科学与技术、软件工程、网络工程、电子与计算机工程、新媒体技术</x:v>
      </x:c>
      <x:c r="K30" s="16" t="str">
        <x:v>专业核心 / 跨专业通用</x:v>
      </x:c>
      <x:c r="L30" s="16" t="str">
        <x:v>SB</x:v>
      </x:c>
      <x:c r="M30" s="16" t="str">
        <x:v>限制使用</x:v>
      </x:c>
      <x:c r="N30" s="14" t="str">
        <x:v>未见随包可执行载荷；主要为说明、模板或参考资料</x:v>
      </x:c>
      <x:c r="O30" s="14" t="str">
        <x:v>涉及凭据、令牌或秘密管理语境</x:v>
      </x:c>
      <x:c r="P30" s="14" t="str">
        <x:v>在隔离项目目录内使用，所有状态改变均需人工确认；不得读取或回显现有凭据，令牌由用户侧最小权限注入。</x:v>
      </x:c>
      <x:c r="Q30" s="14" t="str">
        <x:v>完整说明与已审资源；执行步骤仍受限制条件约束</x:v>
      </x:c>
      <x:c r="R30" s="14" t="str">
        <x:v>无强制剥离；按限制条件禁用越权步骤</x:v>
      </x:c>
      <x:c r="S30" s="16" t="str">
        <x:v>中</x:v>
      </x:c>
      <x:c r="T30" s="16" t="str">
        <x:v>MIT</x:v>
      </x:c>
      <x:c r="U30" s="16" t="str">
        <x:v>d2478bf0c73a6357df39a3ed6aff16acaa218843</x:v>
      </x:c>
      <x:c r="V30" s="16" t="str">
        <x:v>2026-08-06</x:v>
      </x:c>
      <x:c r="W30" s="16" t="str">
        <x:v>2026-08-07</x:v>
      </x:c>
      <x:c r="X30" s="16" t="n">
        <x:v>1</x:v>
      </x:c>
      <x:c r="Y30" s="16" t="n">
        <x:v>0</x:v>
      </x:c>
      <x:c r="Z30" s="14" t="str">
        <x:v>静态三级验证：读取入口、枚举包结构、扫描脚本/依赖/网络/凭据/写入；未运行。</x:v>
      </x:c>
    </x:row>
    <x:row r="31" ht="74" customHeight="1">
      <x:c r="A31" s="15" t="n">
        <x:v>27</x:v>
      </x:c>
      <x:c r="B31" s="15" t="str">
        <x:v>DISC-0809-0027</x:v>
      </x:c>
      <x:c r="C31" s="14" t="str">
        <x:v>B 软件工程</x:v>
      </x:c>
      <x:c r="D31" s="14" t="str">
        <x:v>可观测性与埋点</x:v>
      </x:c>
      <x:c r="E31" s="14" t="str">
        <x:v>observability-and-instrumentation</x:v>
      </x:c>
      <x:c r="F31" s="16" t="str">
        <x:v>GitHub</x:v>
      </x:c>
      <x:c r="G31" s="14" t="str">
        <x:v>addyosmani/agent-skills</x:v>
      </x:c>
      <x:c r="H31" s="14" t="str">
        <x:v>https://github.com/addyosmani/agent-skills/blob/d2478bf0c73a6357df39a3ed6aff16acaa218843/skills/observability-and-instrumentation/SKILL.md</x:v>
      </x:c>
      <x:c r="I31" s="14" t="str">
        <x:v>设计日志、指标、追踪和诊断信号，使系统行为可解释。</x:v>
      </x:c>
      <x:c r="J31" s="14" t="str">
        <x:v>计算机科学与技术、软件工程、网络工程、电子与计算机工程、新媒体技术</x:v>
      </x:c>
      <x:c r="K31" s="16" t="str">
        <x:v>专业核心 / 跨专业通用</x:v>
      </x:c>
      <x:c r="L31" s="16" t="str">
        <x:v>SB</x:v>
      </x:c>
      <x:c r="M31" s="16" t="str">
        <x:v>限制使用</x:v>
      </x:c>
      <x:c r="N31" s="14" t="str">
        <x:v>含文件写入示例或实现</x:v>
      </x:c>
      <x:c r="O31" s="14" t="str">
        <x:v>包含外部链接、下载、API 或网络访问说明；涉及凭据、令牌或秘密管理语境</x:v>
      </x:c>
      <x:c r="P31" s="14" t="str">
        <x:v>在隔离项目目录内使用，所有状态改变均需人工确认；默认断网；确需联网时只开放已核准域名且不得发送校内敏感数据；不得读取或回显现有凭据，令牌由用户侧最小权限注入；输出限于显式指定的新目录，禁止覆盖原文件。</x:v>
      </x:c>
      <x:c r="Q31" s="14" t="str">
        <x:v>完整说明与已审资源；执行步骤仍受限制条件约束</x:v>
      </x:c>
      <x:c r="R31" s="14" t="str">
        <x:v>无强制剥离；按限制条件禁用越权步骤</x:v>
      </x:c>
      <x:c r="S31" s="16" t="str">
        <x:v>中</x:v>
      </x:c>
      <x:c r="T31" s="16" t="str">
        <x:v>MIT</x:v>
      </x:c>
      <x:c r="U31" s="16" t="str">
        <x:v>d2478bf0c73a6357df39a3ed6aff16acaa218843</x:v>
      </x:c>
      <x:c r="V31" s="16" t="str">
        <x:v>2026-08-06</x:v>
      </x:c>
      <x:c r="W31" s="16" t="str">
        <x:v>2026-08-07</x:v>
      </x:c>
      <x:c r="X31" s="16" t="n">
        <x:v>1</x:v>
      </x:c>
      <x:c r="Y31" s="16" t="n">
        <x:v>0</x:v>
      </x:c>
      <x:c r="Z31" s="14" t="str">
        <x:v>静态三级验证：读取入口、枚举包结构、扫描脚本/依赖/网络/凭据/写入；未运行。</x:v>
      </x:c>
    </x:row>
    <x:row r="32" ht="74" customHeight="1">
      <x:c r="A32" s="15" t="n">
        <x:v>28</x:v>
      </x:c>
      <x:c r="B32" s="15" t="str">
        <x:v>DISC-0809-0028</x:v>
      </x:c>
      <x:c r="C32" s="14" t="str">
        <x:v>B 软件工程</x:v>
      </x:c>
      <x:c r="D32" s="14" t="str">
        <x:v>规格驱动开发</x:v>
      </x:c>
      <x:c r="E32" s="14" t="str">
        <x:v>spec-driven-development</x:v>
      </x:c>
      <x:c r="F32" s="16" t="str">
        <x:v>GitHub</x:v>
      </x:c>
      <x:c r="G32" s="14" t="str">
        <x:v>addyosmani/agent-skills</x:v>
      </x:c>
      <x:c r="H32" s="14" t="str">
        <x:v>https://github.com/addyosmani/agent-skills/blob/d2478bf0c73a6357df39a3ed6aff16acaa218843/skills/spec-driven-development/SKILL.md</x:v>
      </x:c>
      <x:c r="I32" s="14" t="str">
        <x:v>用明确规格、验收标准和任务分解约束实现过程。</x:v>
      </x:c>
      <x:c r="J32" s="14" t="str">
        <x:v>计算机科学与技术、软件工程、网络工程、电子与计算机工程、新媒体技术</x:v>
      </x:c>
      <x:c r="K32" s="16" t="str">
        <x:v>专业核心 / 跨专业通用</x:v>
      </x:c>
      <x:c r="L32" s="16" t="str">
        <x:v>SB</x:v>
      </x:c>
      <x:c r="M32" s="16" t="str">
        <x:v>限制使用</x:v>
      </x:c>
      <x:c r="N32" s="14" t="str">
        <x:v>含文件写入示例或实现</x:v>
      </x:c>
      <x:c r="O32" s="14" t="str">
        <x:v>包含外部链接、下载、API 或网络访问说明；涉及凭据、令牌或秘密管理语境</x:v>
      </x:c>
      <x:c r="P32" s="14" t="str">
        <x:v>在隔离项目目录内使用，所有状态改变均需人工确认；默认断网；确需联网时只开放已核准域名且不得发送校内敏感数据；不得读取或回显现有凭据，令牌由用户侧最小权限注入；输出限于显式指定的新目录，禁止覆盖原文件。</x:v>
      </x:c>
      <x:c r="Q32" s="14" t="str">
        <x:v>完整说明与已审资源；执行步骤仍受限制条件约束</x:v>
      </x:c>
      <x:c r="R32" s="14" t="str">
        <x:v>无强制剥离；按限制条件禁用越权步骤</x:v>
      </x:c>
      <x:c r="S32" s="16" t="str">
        <x:v>中</x:v>
      </x:c>
      <x:c r="T32" s="16" t="str">
        <x:v>MIT</x:v>
      </x:c>
      <x:c r="U32" s="16" t="str">
        <x:v>d2478bf0c73a6357df39a3ed6aff16acaa218843</x:v>
      </x:c>
      <x:c r="V32" s="16" t="str">
        <x:v>2026-08-06</x:v>
      </x:c>
      <x:c r="W32" s="16" t="str">
        <x:v>2026-08-07</x:v>
      </x:c>
      <x:c r="X32" s="16" t="n">
        <x:v>1</x:v>
      </x:c>
      <x:c r="Y32" s="16" t="n">
        <x:v>0</x:v>
      </x:c>
      <x:c r="Z32" s="14" t="str">
        <x:v>静态三级验证：读取入口、枚举包结构、扫描脚本/依赖/网络/凭据/写入；未运行。</x:v>
      </x:c>
    </x:row>
    <x:row r="33" ht="74" customHeight="1">
      <x:c r="A33" s="15" t="n">
        <x:v>29</x:v>
      </x:c>
      <x:c r="B33" s="15" t="str">
        <x:v>DISC-0809-0029</x:v>
      </x:c>
      <x:c r="C33" s="14" t="str">
        <x:v>B 软件工程</x:v>
      </x:c>
      <x:c r="D33" s="14" t="str">
        <x:v>测试驱动开发</x:v>
      </x:c>
      <x:c r="E33" s="14" t="str">
        <x:v>test-driven-development</x:v>
      </x:c>
      <x:c r="F33" s="16" t="str">
        <x:v>GitHub</x:v>
      </x:c>
      <x:c r="G33" s="14" t="str">
        <x:v>addyosmani/agent-skills</x:v>
      </x:c>
      <x:c r="H33" s="14" t="str">
        <x:v>https://github.com/addyosmani/agent-skills/blob/d2478bf0c73a6357df39a3ed6aff16acaa218843/skills/test-driven-development/SKILL.md</x:v>
      </x:c>
      <x:c r="I33" s="14" t="str">
        <x:v>先写失败测试，再完成最小实现和重构，以测试证据驱动开发。</x:v>
      </x:c>
      <x:c r="J33" s="14" t="str">
        <x:v>计算机科学与技术、软件工程、网络工程、电子与计算机工程、新媒体技术</x:v>
      </x:c>
      <x:c r="K33" s="16" t="str">
        <x:v>专业核心 / 跨专业通用</x:v>
      </x:c>
      <x:c r="L33" s="16" t="str">
        <x:v>SB</x:v>
      </x:c>
      <x:c r="M33" s="16" t="str">
        <x:v>限制使用</x:v>
      </x:c>
      <x:c r="N33" s="14" t="str">
        <x:v>含文件写入示例或实现</x:v>
      </x:c>
      <x:c r="O33" s="14" t="str">
        <x:v>包含外部链接、下载、API 或网络访问说明；涉及凭据、令牌或秘密管理语境</x:v>
      </x:c>
      <x:c r="P33" s="14" t="str">
        <x:v>在隔离项目目录内使用，所有状态改变均需人工确认；默认断网；确需联网时只开放已核准域名且不得发送校内敏感数据；不得读取或回显现有凭据，令牌由用户侧最小权限注入；输出限于显式指定的新目录，禁止覆盖原文件。</x:v>
      </x:c>
      <x:c r="Q33" s="14" t="str">
        <x:v>完整说明与已审资源；执行步骤仍受限制条件约束</x:v>
      </x:c>
      <x:c r="R33" s="14" t="str">
        <x:v>无强制剥离；按限制条件禁用越权步骤</x:v>
      </x:c>
      <x:c r="S33" s="16" t="str">
        <x:v>高</x:v>
      </x:c>
      <x:c r="T33" s="16" t="str">
        <x:v>MIT</x:v>
      </x:c>
      <x:c r="U33" s="16" t="str">
        <x:v>d2478bf0c73a6357df39a3ed6aff16acaa218843</x:v>
      </x:c>
      <x:c r="V33" s="16" t="str">
        <x:v>2026-08-06</x:v>
      </x:c>
      <x:c r="W33" s="16" t="str">
        <x:v>2026-08-07</x:v>
      </x:c>
      <x:c r="X33" s="16" t="n">
        <x:v>1</x:v>
      </x:c>
      <x:c r="Y33" s="16" t="n">
        <x:v>0</x:v>
      </x:c>
      <x:c r="Z33" s="14" t="str">
        <x:v>静态三级验证：读取入口、枚举包结构、扫描脚本/依赖/网络/凭据/写入；未运行。</x:v>
      </x:c>
    </x:row>
    <x:row r="34" ht="74" customHeight="1">
      <x:c r="A34" s="15" t="n">
        <x:v>30</x:v>
      </x:c>
      <x:c r="B34" s="15" t="str">
        <x:v>DISC-0809-0030</x:v>
      </x:c>
      <x:c r="C34" s="14" t="str">
        <x:v>B 软件工程</x:v>
      </x:c>
      <x:c r="D34" s="14" t="str">
        <x:v>系统化调试</x:v>
      </x:c>
      <x:c r="E34" s="14" t="str">
        <x:v>systematic-debugging</x:v>
      </x:c>
      <x:c r="F34" s="16" t="str">
        <x:v>GitHub</x:v>
      </x:c>
      <x:c r="G34" s="14" t="str">
        <x:v>obra/superpowers</x:v>
      </x:c>
      <x:c r="H34" s="14" t="str">
        <x:v>https://github.com/obra/superpowers/blob/44c9b2d6e889982ac18c27d05a19fefe335194e1/skills/systematic-debugging/SKILL.md</x:v>
      </x:c>
      <x:c r="I34" s="14" t="str">
        <x:v>坚持根因调查、模式分析、假设验证和实施修复四阶段。</x:v>
      </x:c>
      <x:c r="J34" s="14" t="str">
        <x:v>计算机科学与技术、软件工程、网络工程、电子与计算机工程、新媒体技术</x:v>
      </x:c>
      <x:c r="K34" s="16" t="str">
        <x:v>专业核心 / 跨专业通用</x:v>
      </x:c>
      <x:c r="L34" s="16" t="str">
        <x:v>SB</x:v>
      </x:c>
      <x:c r="M34" s="16" t="str">
        <x:v>限制使用</x:v>
      </x:c>
      <x:c r="N34" s="14" t="str">
        <x:v>含 2 个脚本文件；含文件写入示例或实现</x:v>
      </x:c>
      <x:c r="O34" s="14" t="str">
        <x:v>涉及凭据、令牌或秘密管理语境；包含上传、发布、推送、部署或其他外部状态行为</x:v>
      </x:c>
      <x:c r="P34" s="14" t="str">
        <x:v>在隔离项目目录内使用，所有状态改变均需人工确认；不得读取或回显现有凭据，令牌由用户侧最小权限注入；输出限于显式指定的新目录，禁止覆盖原文件；禁止自动上传、发布、推送、部署、评论或付费任务。</x:v>
      </x:c>
      <x:c r="Q34" s="14" t="str">
        <x:v>完整说明与已审资源；执行步骤仍受限制条件约束</x:v>
      </x:c>
      <x:c r="R34" s="14" t="str">
        <x:v>无强制剥离；按限制条件禁用越权步骤</x:v>
      </x:c>
      <x:c r="S34" s="16" t="str">
        <x:v>高</x:v>
      </x:c>
      <x:c r="T34" s="16" t="str">
        <x:v>MIT</x:v>
      </x:c>
      <x:c r="U34" s="16" t="str">
        <x:v>44c9b2d6e889982ac18c27d05a19fefe335194e1</x:v>
      </x:c>
      <x:c r="V34" s="16" t="str">
        <x:v>2026-07-28</x:v>
      </x:c>
      <x:c r="W34" s="16" t="str">
        <x:v>2026-08-07</x:v>
      </x:c>
      <x:c r="X34" s="16" t="n">
        <x:v>11</x:v>
      </x:c>
      <x:c r="Y34" s="16" t="n">
        <x:v>2</x:v>
      </x:c>
      <x:c r="Z34" s="14" t="str">
        <x:v>静态三级验证：读取入口、枚举包结构、扫描脚本/依赖/网络/凭据/写入；未运行。</x:v>
      </x:c>
    </x:row>
    <x:row r="35" ht="74" customHeight="1">
      <x:c r="A35" s="15" t="n">
        <x:v>31</x:v>
      </x:c>
      <x:c r="B35" s="15" t="str">
        <x:v>DISC-0809-0031</x:v>
      </x:c>
      <x:c r="C35" s="14" t="str">
        <x:v>B 软件工程</x:v>
      </x:c>
      <x:c r="D35" s="14" t="str">
        <x:v>测试驱动开发</x:v>
      </x:c>
      <x:c r="E35" s="14" t="str">
        <x:v>test-driven-development</x:v>
      </x:c>
      <x:c r="F35" s="16" t="str">
        <x:v>GitHub</x:v>
      </x:c>
      <x:c r="G35" s="14" t="str">
        <x:v>obra/superpowers</x:v>
      </x:c>
      <x:c r="H35" s="14" t="str">
        <x:v>https://github.com/obra/superpowers/blob/44c9b2d6e889982ac18c27d05a19fefe335194e1/skills/test-driven-development/SKILL.md</x:v>
      </x:c>
      <x:c r="I35" s="14" t="str">
        <x:v>先写失败测试，再完成最小实现和重构，以测试证据驱动开发。</x:v>
      </x:c>
      <x:c r="J35" s="14" t="str">
        <x:v>计算机科学与技术、软件工程、网络工程、电子与计算机工程、新媒体技术</x:v>
      </x:c>
      <x:c r="K35" s="16" t="str">
        <x:v>专业核心 / 跨专业通用</x:v>
      </x:c>
      <x:c r="L35" s="16" t="str">
        <x:v>SB</x:v>
      </x:c>
      <x:c r="M35" s="16" t="str">
        <x:v>限制使用</x:v>
      </x:c>
      <x:c r="N35" s="14" t="str">
        <x:v>未见随包可执行载荷；主要为说明、模板或参考资料</x:v>
      </x:c>
      <x:c r="O35" s="14" t="str">
        <x:v>未见必要的凭据或外部写入行为</x:v>
      </x:c>
      <x:c r="P35" s="14" t="str">
        <x:v>在隔离项目目录内使用，所有状态改变均需人工确认。</x:v>
      </x:c>
      <x:c r="Q35" s="14" t="str">
        <x:v>完整说明与已审资源；执行步骤仍受限制条件约束</x:v>
      </x:c>
      <x:c r="R35" s="14" t="str">
        <x:v>无强制剥离；按限制条件禁用越权步骤</x:v>
      </x:c>
      <x:c r="S35" s="16" t="str">
        <x:v>高</x:v>
      </x:c>
      <x:c r="T35" s="16" t="str">
        <x:v>MIT</x:v>
      </x:c>
      <x:c r="U35" s="16" t="str">
        <x:v>44c9b2d6e889982ac18c27d05a19fefe335194e1</x:v>
      </x:c>
      <x:c r="V35" s="16" t="str">
        <x:v>2026-07-28</x:v>
      </x:c>
      <x:c r="W35" s="16" t="str">
        <x:v>2026-08-07</x:v>
      </x:c>
      <x:c r="X35" s="16" t="n">
        <x:v>2</x:v>
      </x:c>
      <x:c r="Y35" s="16" t="n">
        <x:v>0</x:v>
      </x:c>
      <x:c r="Z35" s="14" t="str">
        <x:v>静态三级验证：读取入口、枚举包结构、扫描脚本/依赖/网络/凭据/写入；未运行。</x:v>
      </x:c>
    </x:row>
    <x:row r="36" ht="74" customHeight="1">
      <x:c r="A36" s="15" t="n">
        <x:v>32</x:v>
      </x:c>
      <x:c r="B36" s="15" t="str">
        <x:v>DISC-0809-0032</x:v>
      </x:c>
      <x:c r="C36" s="14" t="str">
        <x:v>B 软件工程</x:v>
      </x:c>
      <x:c r="D36" s="14" t="str">
        <x:v>边缘计算</x:v>
      </x:c>
      <x:c r="E36" s="14" t="str">
        <x:v>edge-computing</x:v>
      </x:c>
      <x:c r="F36" s="16" t="str">
        <x:v>GitHub</x:v>
      </x:c>
      <x:c r="G36" s="14" t="str">
        <x:v>travisjneuman/.claude</x:v>
      </x:c>
      <x:c r="H36" s="14" t="str">
        <x:v>https://github.com/travisjneuman/.claude/blob/e74cd20465be466b0f30c19da760bc986c50177f/skills/edge-computing/SKILL.md</x:v>
      </x:c>
      <x:c r="I36" s="14" t="str">
        <x:v>比较边缘运行时、缓存、数据一致性和低延迟架构模式。</x:v>
      </x:c>
      <x:c r="J36" s="14" t="str">
        <x:v>计算机科学与技术、软件工程、网络工程、电子与计算机工程、新媒体技术</x:v>
      </x:c>
      <x:c r="K36" s="16" t="str">
        <x:v>专业核心 / 跨专业通用</x:v>
      </x:c>
      <x:c r="L36" s="16" t="str">
        <x:v>SA</x:v>
      </x:c>
      <x:c r="M36" s="16" t="str">
        <x:v>原包可用</x:v>
      </x:c>
      <x:c r="N36" s="14" t="str">
        <x:v>未见随包可执行载荷；主要为说明、模板或参考资料</x:v>
      </x:c>
      <x:c r="O36" s="14" t="str">
        <x:v>包含外部链接、下载、API 或网络访问说明；包含上传、发布、推送、部署或其他外部状态行为</x:v>
      </x:c>
      <x:c r="P36" s="14" t="str">
        <x:v>按只读说明/模板使用；仍需人工复核生成内容，不自动提交、发布或替代课程评价。</x:v>
      </x:c>
      <x:c r="Q36" s="14" t="str">
        <x:v>完整说明与已审资源；执行步骤仍受限制条件约束</x:v>
      </x:c>
      <x:c r="R36" s="14" t="str">
        <x:v>无强制剥离；按限制条件禁用越权步骤</x:v>
      </x:c>
      <x:c r="S36" s="16" t="str">
        <x:v>中</x:v>
      </x:c>
      <x:c r="T36" s="16" t="str">
        <x:v>MIT</x:v>
      </x:c>
      <x:c r="U36" s="16" t="str">
        <x:v>e74cd20465be466b0f30c19da760bc986c50177f</x:v>
      </x:c>
      <x:c r="V36" s="16" t="str">
        <x:v>2026-07-17</x:v>
      </x:c>
      <x:c r="W36" s="16" t="str">
        <x:v>2026-08-07</x:v>
      </x:c>
      <x:c r="X36" s="16" t="n">
        <x:v>1</x:v>
      </x:c>
      <x:c r="Y36" s="16" t="n">
        <x:v>0</x:v>
      </x:c>
      <x:c r="Z36" s="14" t="str">
        <x:v>静态三级验证：读取入口、枚举包结构、扫描脚本/依赖/网络/凭据/写入；未运行。</x:v>
      </x:c>
    </x:row>
    <x:row r="37" ht="74" customHeight="1">
      <x:c r="A37" s="15" t="n">
        <x:v>33</x:v>
      </x:c>
      <x:c r="B37" s="15" t="str">
        <x:v>DISC-0809-0033</x:v>
      </x:c>
      <x:c r="C37" s="14" t="str">
        <x:v>B 软件工程</x:v>
      </x:c>
      <x:c r="D37" s="14" t="str">
        <x:v>API 设计原则</x:v>
      </x:c>
      <x:c r="E37" s="14" t="str">
        <x:v>api-design-principles</x:v>
      </x:c>
      <x:c r="F37" s="16" t="str">
        <x:v>GitHub</x:v>
      </x:c>
      <x:c r="G37" s="14" t="str">
        <x:v>wshobson/agents</x:v>
      </x:c>
      <x:c r="H37" s="14" t="str">
        <x:v>https://github.com/wshobson/agents/blob/c4b82b0ad771190355eb8e204b1329732a18449a/plugins/backend-development/skills/api-design-principles/SKILL.md</x:v>
      </x:c>
      <x:c r="I37" s="14" t="str">
        <x:v>用资源建模、版本、分页、错误和兼容策略设计 API。</x:v>
      </x:c>
      <x:c r="J37" s="14" t="str">
        <x:v>计算机科学与技术、软件工程、网络工程、电子与计算机工程、新媒体技术</x:v>
      </x:c>
      <x:c r="K37" s="16" t="str">
        <x:v>专业核心 / 跨专业通用</x:v>
      </x:c>
      <x:c r="L37" s="16" t="str">
        <x:v>SA</x:v>
      </x:c>
      <x:c r="M37" s="16" t="str">
        <x:v>原包可用</x:v>
      </x:c>
      <x:c r="N37" s="14" t="str">
        <x:v>含 1 个脚本文件；含文件写入示例或实现；含删除相关示例</x:v>
      </x:c>
      <x:c r="O37" s="14" t="str">
        <x:v>包含外部链接、下载、API 或网络访问说明；涉及凭据、令牌或秘密管理语境</x:v>
      </x:c>
      <x:c r="P37" s="14" t="str">
        <x:v>按只读说明/模板使用；仍需人工复核生成内容，不自动提交、发布或替代课程评价。</x:v>
      </x:c>
      <x:c r="Q37" s="14" t="str">
        <x:v>完整说明与已审资源；执行步骤仍受限制条件约束</x:v>
      </x:c>
      <x:c r="R37" s="14" t="str">
        <x:v>无强制剥离；按限制条件禁用越权步骤</x:v>
      </x:c>
      <x:c r="S37" s="16" t="str">
        <x:v>中</x:v>
      </x:c>
      <x:c r="T37" s="16" t="str">
        <x:v>MIT</x:v>
      </x:c>
      <x:c r="U37" s="16" t="str">
        <x:v>c4b82b0ad771190355eb8e204b1329732a18449a</x:v>
      </x:c>
      <x:c r="V37" s="16" t="str">
        <x:v>2026-07-18</x:v>
      </x:c>
      <x:c r="W37" s="16" t="str">
        <x:v>2026-08-07</x:v>
      </x:c>
      <x:c r="X37" s="16" t="n">
        <x:v>6</x:v>
      </x:c>
      <x:c r="Y37" s="16" t="n">
        <x:v>1</x:v>
      </x:c>
      <x:c r="Z37" s="14" t="str">
        <x:v>静态三级验证：读取入口、枚举包结构、扫描脚本/依赖/网络/凭据/写入；未运行。</x:v>
      </x:c>
    </x:row>
    <x:row r="38" ht="74" customHeight="1">
      <x:c r="A38" s="15" t="n">
        <x:v>34</x:v>
      </x:c>
      <x:c r="B38" s="15" t="str">
        <x:v>DISC-0809-0034</x:v>
      </x:c>
      <x:c r="C38" s="14" t="str">
        <x:v>B 软件工程</x:v>
      </x:c>
      <x:c r="D38" s="14" t="str">
        <x:v>架构决策记录</x:v>
      </x:c>
      <x:c r="E38" s="14" t="str">
        <x:v>architecture-decision-records</x:v>
      </x:c>
      <x:c r="F38" s="16" t="str">
        <x:v>GitHub</x:v>
      </x:c>
      <x:c r="G38" s="14" t="str">
        <x:v>wshobson/agents</x:v>
      </x:c>
      <x:c r="H38" s="14" t="str">
        <x:v>https://github.com/wshobson/agents/blob/c4b82b0ad771190355eb8e204b1329732a18449a/plugins/documentation-generation/skills/architecture-decision-records/SKILL.md</x:v>
      </x:c>
      <x:c r="I38" s="14" t="str">
        <x:v>用统一结构记录背景、选项、决定、后果和复审条件。</x:v>
      </x:c>
      <x:c r="J38" s="14" t="str">
        <x:v>计算机科学与技术、软件工程、网络工程、电子与计算机工程、新媒体技术</x:v>
      </x:c>
      <x:c r="K38" s="16" t="str">
        <x:v>跨专业通用 / 员工支持</x:v>
      </x:c>
      <x:c r="L38" s="16" t="str">
        <x:v>SA</x:v>
      </x:c>
      <x:c r="M38" s="16" t="str">
        <x:v>原包可用</x:v>
      </x:c>
      <x:c r="N38" s="14" t="str">
        <x:v>含文件写入示例或实现</x:v>
      </x:c>
      <x:c r="O38" s="14" t="str">
        <x:v>包含外部链接、下载、API 或网络访问说明</x:v>
      </x:c>
      <x:c r="P38" s="14" t="str">
        <x:v>按只读说明/模板使用；仍需人工复核生成内容，不自动提交、发布或替代课程评价。</x:v>
      </x:c>
      <x:c r="Q38" s="14" t="str">
        <x:v>完整说明与已审资源；执行步骤仍受限制条件约束</x:v>
      </x:c>
      <x:c r="R38" s="14" t="str">
        <x:v>无强制剥离；按限制条件禁用越权步骤</x:v>
      </x:c>
      <x:c r="S38" s="16" t="str">
        <x:v>中</x:v>
      </x:c>
      <x:c r="T38" s="16" t="str">
        <x:v>MIT</x:v>
      </x:c>
      <x:c r="U38" s="16" t="str">
        <x:v>c4b82b0ad771190355eb8e204b1329732a18449a</x:v>
      </x:c>
      <x:c r="V38" s="16" t="str">
        <x:v>2026-07-18</x:v>
      </x:c>
      <x:c r="W38" s="16" t="str">
        <x:v>2026-08-07</x:v>
      </x:c>
      <x:c r="X38" s="16" t="n">
        <x:v>1</x:v>
      </x:c>
      <x:c r="Y38" s="16" t="n">
        <x:v>0</x:v>
      </x:c>
      <x:c r="Z38" s="14" t="str">
        <x:v>静态三级验证：读取入口、枚举包结构、扫描脚本/依赖/网络/凭据/写入；未运行。</x:v>
      </x:c>
    </x:row>
    <x:row r="39" ht="74" customHeight="1">
      <x:c r="A39" s="15" t="n">
        <x:v>35</x:v>
      </x:c>
      <x:c r="B39" s="15" t="str">
        <x:v>DISC-0809-0035</x:v>
      </x:c>
      <x:c r="C39" s="14" t="str">
        <x:v>B 软件工程</x:v>
      </x:c>
      <x:c r="D39" s="14" t="str">
        <x:v>软件架构模式</x:v>
      </x:c>
      <x:c r="E39" s="14" t="str">
        <x:v>architecture-patterns</x:v>
      </x:c>
      <x:c r="F39" s="16" t="str">
        <x:v>GitHub</x:v>
      </x:c>
      <x:c r="G39" s="14" t="str">
        <x:v>wshobson/agents</x:v>
      </x:c>
      <x:c r="H39" s="14" t="str">
        <x:v>https://github.com/wshobson/agents/blob/c4b82b0ad771190355eb8e204b1329732a18449a/plugins/backend-development/skills/architecture-patterns/SKILL.md</x:v>
      </x:c>
      <x:c r="I39" s="14" t="str">
        <x:v>比较分层、六边形、事件驱动、CQRS 等架构及适用条件。</x:v>
      </x:c>
      <x:c r="J39" s="14" t="str">
        <x:v>计算机科学与技术、软件工程、网络工程、电子与计算机工程、新媒体技术</x:v>
      </x:c>
      <x:c r="K39" s="16" t="str">
        <x:v>专业核心 / 跨专业通用</x:v>
      </x:c>
      <x:c r="L39" s="16" t="str">
        <x:v>SA</x:v>
      </x:c>
      <x:c r="M39" s="16" t="str">
        <x:v>原包可用</x:v>
      </x:c>
      <x:c r="N39" s="14" t="str">
        <x:v>含文件写入示例或实现；含删除相关示例</x:v>
      </x:c>
      <x:c r="O39" s="14" t="str">
        <x:v>包含外部链接、下载、API 或网络访问说明；涉及凭据、令牌或秘密管理语境；包含上传、发布、推送、部署或其他外部状态行为</x:v>
      </x:c>
      <x:c r="P39" s="14" t="str">
        <x:v>按只读说明/模板使用；仍需人工复核生成内容，不自动提交、发布或替代课程评价。</x:v>
      </x:c>
      <x:c r="Q39" s="14" t="str">
        <x:v>完整说明与已审资源；执行步骤仍受限制条件约束</x:v>
      </x:c>
      <x:c r="R39" s="14" t="str">
        <x:v>无强制剥离；按限制条件禁用越权步骤</x:v>
      </x:c>
      <x:c r="S39" s="16" t="str">
        <x:v>中</x:v>
      </x:c>
      <x:c r="T39" s="16" t="str">
        <x:v>MIT</x:v>
      </x:c>
      <x:c r="U39" s="16" t="str">
        <x:v>c4b82b0ad771190355eb8e204b1329732a18449a</x:v>
      </x:c>
      <x:c r="V39" s="16" t="str">
        <x:v>2026-07-18</x:v>
      </x:c>
      <x:c r="W39" s="16" t="str">
        <x:v>2026-08-07</x:v>
      </x:c>
      <x:c r="X39" s="16" t="n">
        <x:v>3</x:v>
      </x:c>
      <x:c r="Y39" s="16" t="n">
        <x:v>0</x:v>
      </x:c>
      <x:c r="Z39" s="14" t="str">
        <x:v>静态三级验证：读取入口、枚举包结构、扫描脚本/依赖/网络/凭据/写入；未运行。</x:v>
      </x:c>
    </x:row>
    <x:row r="40" ht="74" customHeight="1">
      <x:c r="A40" s="15" t="n">
        <x:v>36</x:v>
      </x:c>
      <x:c r="B40" s="15" t="str">
        <x:v>DISC-0809-0036</x:v>
      </x:c>
      <x:c r="C40" s="14" t="str">
        <x:v>B 软件工程</x:v>
      </x:c>
      <x:c r="D40" s="14" t="str">
        <x:v>高质量代码审查</x:v>
      </x:c>
      <x:c r="E40" s="14" t="str">
        <x:v>code-review-excellence</x:v>
      </x:c>
      <x:c r="F40" s="16" t="str">
        <x:v>GitHub</x:v>
      </x:c>
      <x:c r="G40" s="14" t="str">
        <x:v>wshobson/agents</x:v>
      </x:c>
      <x:c r="H40" s="14" t="str">
        <x:v>https://github.com/wshobson/agents/blob/c4b82b0ad771190355eb8e204b1329732a18449a/plugins/developer-essentials/skills/code-review-excellence/SKILL.md</x:v>
      </x:c>
      <x:c r="I40" s="14" t="str">
        <x:v>用建设性反馈、检查清单和风险优先级改进评审协作。</x:v>
      </x:c>
      <x:c r="J40" s="14" t="str">
        <x:v>计算机科学与技术、软件工程、网络工程、电子与计算机工程、新媒体技术</x:v>
      </x:c>
      <x:c r="K40" s="16" t="str">
        <x:v>专业核心 / 跨专业通用</x:v>
      </x:c>
      <x:c r="L40" s="16" t="str">
        <x:v>SA</x:v>
      </x:c>
      <x:c r="M40" s="16" t="str">
        <x:v>原包可用</x:v>
      </x:c>
      <x:c r="N40" s="14" t="str">
        <x:v>未见随包可执行载荷；主要为说明、模板或参考资料</x:v>
      </x:c>
      <x:c r="O40" s="14" t="str">
        <x:v>包含外部链接、下载、API 或网络访问说明；涉及凭据、令牌或秘密管理语境</x:v>
      </x:c>
      <x:c r="P40" s="14" t="str">
        <x:v>按只读说明/模板使用；仍需人工复核生成内容，不自动提交、发布或替代课程评价。</x:v>
      </x:c>
      <x:c r="Q40" s="14" t="str">
        <x:v>完整说明与已审资源；执行步骤仍受限制条件约束</x:v>
      </x:c>
      <x:c r="R40" s="14" t="str">
        <x:v>无强制剥离；按限制条件禁用越权步骤</x:v>
      </x:c>
      <x:c r="S40" s="16" t="str">
        <x:v>中</x:v>
      </x:c>
      <x:c r="T40" s="16" t="str">
        <x:v>MIT</x:v>
      </x:c>
      <x:c r="U40" s="16" t="str">
        <x:v>c4b82b0ad771190355eb8e204b1329732a18449a</x:v>
      </x:c>
      <x:c r="V40" s="16" t="str">
        <x:v>2026-07-18</x:v>
      </x:c>
      <x:c r="W40" s="16" t="str">
        <x:v>2026-08-07</x:v>
      </x:c>
      <x:c r="X40" s="16" t="n">
        <x:v>1</x:v>
      </x:c>
      <x:c r="Y40" s="16" t="n">
        <x:v>0</x:v>
      </x:c>
      <x:c r="Z40" s="14" t="str">
        <x:v>静态三级验证：读取入口、枚举包结构、扫描脚本/依赖/网络/凭据/写入；未运行。</x:v>
      </x:c>
    </x:row>
    <x:row r="41" ht="74" customHeight="1">
      <x:c r="A41" s="15" t="n">
        <x:v>37</x:v>
      </x:c>
      <x:c r="B41" s="15" t="str">
        <x:v>DISC-0809-0037</x:v>
      </x:c>
      <x:c r="C41" s="14" t="str">
        <x:v>B 软件工程</x:v>
      </x:c>
      <x:c r="D41" s="14" t="str">
        <x:v>端到端测试模式</x:v>
      </x:c>
      <x:c r="E41" s="14" t="str">
        <x:v>e2e-testing-patterns</x:v>
      </x:c>
      <x:c r="F41" s="16" t="str">
        <x:v>GitHub</x:v>
      </x:c>
      <x:c r="G41" s="14" t="str">
        <x:v>wshobson/agents</x:v>
      </x:c>
      <x:c r="H41" s="14" t="str">
        <x:v>https://github.com/wshobson/agents/blob/c4b82b0ad771190355eb8e204b1329732a18449a/plugins/developer-essentials/skills/e2e-testing-patterns/SKILL.md</x:v>
      </x:c>
      <x:c r="I41" s="14" t="str">
        <x:v>设计稳定的 E2E 测试、测试数据、选择器和故障诊断。</x:v>
      </x:c>
      <x:c r="J41" s="14" t="str">
        <x:v>计算机科学与技术、软件工程、网络工程、电子与计算机工程、新媒体技术</x:v>
      </x:c>
      <x:c r="K41" s="16" t="str">
        <x:v>专业核心 / 跨专业通用</x:v>
      </x:c>
      <x:c r="L41" s="16" t="str">
        <x:v>SB-A</x:v>
      </x:c>
      <x:c r="M41" s="16" t="str">
        <x:v>仅适配后使用</x:v>
      </x:c>
      <x:c r="N41" s="14" t="str">
        <x:v>含文件写入示例或实现；含删除相关示例</x:v>
      </x:c>
      <x:c r="O41" s="14" t="str">
        <x:v>包含外部链接、下载、API 或网络访问说明；涉及凭据、令牌或秘密管理语境</x:v>
      </x:c>
      <x:c r="P41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；输出限于显式指定的新目录，禁止覆盖原文件；删除命令从适配版剥离。</x:v>
      </x:c>
      <x:c r="Q41" s="14" t="str">
        <x:v>SKILL.md、说明型 references 与非可执行模板；脚本仅在逐文件复核且固定依赖后单独启用</x:v>
      </x:c>
      <x:c r="R41" s="14" t="str">
        <x:v>移除未锁安装、下载后执行、自动上传/发布/推送/部署、凭据读取和高权限命令；不整包安装</x:v>
      </x:c>
      <x:c r="S41" s="16" t="str">
        <x:v>中</x:v>
      </x:c>
      <x:c r="T41" s="16" t="str">
        <x:v>MIT</x:v>
      </x:c>
      <x:c r="U41" s="16" t="str">
        <x:v>c4b82b0ad771190355eb8e204b1329732a18449a</x:v>
      </x:c>
      <x:c r="V41" s="16" t="str">
        <x:v>2026-07-18</x:v>
      </x:c>
      <x:c r="W41" s="16" t="str">
        <x:v>2026-08-07</x:v>
      </x:c>
      <x:c r="X41" s="16" t="n">
        <x:v>2</x:v>
      </x:c>
      <x:c r="Y41" s="16" t="n">
        <x:v>0</x:v>
      </x:c>
      <x:c r="Z41" s="14" t="str">
        <x:v>静态三级验证：读取入口、枚举包结构、扫描脚本/依赖/网络/凭据/写入；未运行。</x:v>
      </x:c>
    </x:row>
    <x:row r="42" ht="74" customHeight="1">
      <x:c r="A42" s="15" t="n">
        <x:v>38</x:v>
      </x:c>
      <x:c r="B42" s="15" t="str">
        <x:v>DISC-0809-0038</x:v>
      </x:c>
      <x:c r="C42" s="14" t="str">
        <x:v>B 软件工程</x:v>
      </x:c>
      <x:c r="D42" s="14" t="str">
        <x:v>OpenAPI 规范生成</x:v>
      </x:c>
      <x:c r="E42" s="14" t="str">
        <x:v>openapi-spec-generation</x:v>
      </x:c>
      <x:c r="F42" s="16" t="str">
        <x:v>GitHub</x:v>
      </x:c>
      <x:c r="G42" s="14" t="str">
        <x:v>wshobson/agents</x:v>
      </x:c>
      <x:c r="H42" s="14" t="str">
        <x:v>https://github.com/wshobson/agents/blob/c4b82b0ad771190355eb8e204b1329732a18449a/plugins/documentation-generation/skills/openapi-spec-generation/SKILL.md</x:v>
      </x:c>
      <x:c r="I42" s="14" t="str">
        <x:v>生成和校验 OpenAPI 契约、模型、示例与代码优先同步流程。</x:v>
      </x:c>
      <x:c r="J42" s="14" t="str">
        <x:v>计算机科学与技术、软件工程、网络工程、电子与计算机工程、新媒体技术</x:v>
      </x:c>
      <x:c r="K42" s="16" t="str">
        <x:v>专业核心 / 跨专业通用</x:v>
      </x:c>
      <x:c r="L42" s="16" t="str">
        <x:v>SA</x:v>
      </x:c>
      <x:c r="M42" s="16" t="str">
        <x:v>原包可用</x:v>
      </x:c>
      <x:c r="N42" s="14" t="str">
        <x:v>含文件写入示例或实现；含删除相关示例</x:v>
      </x:c>
      <x:c r="O42" s="14" t="str">
        <x:v>包含外部链接、下载、API 或网络访问说明；涉及凭据、令牌或秘密管理语境</x:v>
      </x:c>
      <x:c r="P42" s="14" t="str">
        <x:v>按只读说明/模板使用；仍需人工复核生成内容，不自动提交、发布或替代课程评价。</x:v>
      </x:c>
      <x:c r="Q42" s="14" t="str">
        <x:v>完整说明与已审资源；执行步骤仍受限制条件约束</x:v>
      </x:c>
      <x:c r="R42" s="14" t="str">
        <x:v>无强制剥离；按限制条件禁用越权步骤</x:v>
      </x:c>
      <x:c r="S42" s="16" t="str">
        <x:v>中</x:v>
      </x:c>
      <x:c r="T42" s="16" t="str">
        <x:v>MIT</x:v>
      </x:c>
      <x:c r="U42" s="16" t="str">
        <x:v>c4b82b0ad771190355eb8e204b1329732a18449a</x:v>
      </x:c>
      <x:c r="V42" s="16" t="str">
        <x:v>2026-07-18</x:v>
      </x:c>
      <x:c r="W42" s="16" t="str">
        <x:v>2026-08-07</x:v>
      </x:c>
      <x:c r="X42" s="16" t="n">
        <x:v>3</x:v>
      </x:c>
      <x:c r="Y42" s="16" t="n">
        <x:v>0</x:v>
      </x:c>
      <x:c r="Z42" s="14" t="str">
        <x:v>静态三级验证：读取入口、枚举包结构、扫描脚本/依赖/网络/凭据/写入；未运行。</x:v>
      </x:c>
    </x:row>
    <x:row r="43" ht="74" customHeight="1">
      <x:c r="A43" s="15" t="n">
        <x:v>39</x:v>
      </x:c>
      <x:c r="B43" s="15" t="str">
        <x:v>DISC-0809-0039</x:v>
      </x:c>
      <x:c r="C43" s="14" t="str">
        <x:v>C 网络安全</x:v>
      </x:c>
      <x:c r="D43" s="14" t="str">
        <x:v>安全加固</x:v>
      </x:c>
      <x:c r="E43" s="14" t="str">
        <x:v>security-and-hardening</x:v>
      </x:c>
      <x:c r="F43" s="16" t="str">
        <x:v>GitHub</x:v>
      </x:c>
      <x:c r="G43" s="14" t="str">
        <x:v>addyosmani/agent-skills</x:v>
      </x:c>
      <x:c r="H43" s="14" t="str">
        <x:v>https://github.com/addyosmani/agent-skills/blob/d2478bf0c73a6357df39a3ed6aff16acaa218843/skills/security-and-hardening/SKILL.md</x:v>
      </x:c>
      <x:c r="I43" s="14" t="str">
        <x:v>从攻击面、依赖、输入、权限和运行配置角度加固软件。</x:v>
      </x:c>
      <x:c r="J43" s="14" t="str">
        <x:v>网络工程、信息安全、网络空间安全、物联网工程、保密管理</x:v>
      </x:c>
      <x:c r="K43" s="16" t="str">
        <x:v>专业核心 / 跨专业通用</x:v>
      </x:c>
      <x:c r="L43" s="16" t="str">
        <x:v>SB</x:v>
      </x:c>
      <x:c r="M43" s="16" t="str">
        <x:v>限制使用</x:v>
      </x:c>
      <x:c r="N43" s="14" t="str">
        <x:v>含文件写入示例或实现</x:v>
      </x:c>
      <x:c r="O43" s="14" t="str">
        <x:v>包含外部链接、下载、API 或网络访问说明；涉及凭据、令牌或秘密管理语境；包含上传、发布、推送、部署或其他外部状态行为</x:v>
      </x:c>
      <x:c r="P43" s="14" t="str">
        <x:v>在隔离项目目录内使用，所有状态改变均需人工确认；默认断网；确需联网时只开放已核准域名且不得发送校内敏感数据；不得读取或回显现有凭据，令牌由用户侧最小权限注入；输出限于显式指定的新目录，禁止覆盖原文件；禁止自动上传、发布、推送、部署、评论或付费任务。</x:v>
      </x:c>
      <x:c r="Q43" s="14" t="str">
        <x:v>完整说明与已审资源；执行步骤仍受限制条件约束</x:v>
      </x:c>
      <x:c r="R43" s="14" t="str">
        <x:v>无强制剥离；按限制条件禁用越权步骤</x:v>
      </x:c>
      <x:c r="S43" s="16" t="str">
        <x:v>高</x:v>
      </x:c>
      <x:c r="T43" s="16" t="str">
        <x:v>MIT</x:v>
      </x:c>
      <x:c r="U43" s="16" t="str">
        <x:v>d2478bf0c73a6357df39a3ed6aff16acaa218843</x:v>
      </x:c>
      <x:c r="V43" s="16" t="str">
        <x:v>2026-08-06</x:v>
      </x:c>
      <x:c r="W43" s="16" t="str">
        <x:v>2026-08-07</x:v>
      </x:c>
      <x:c r="X43" s="16" t="n">
        <x:v>1</x:v>
      </x:c>
      <x:c r="Y43" s="16" t="n">
        <x:v>0</x:v>
      </x:c>
      <x:c r="Z43" s="14" t="str">
        <x:v>静态三级验证：读取入口、枚举包结构、扫描脚本/依赖/网络/凭据/写入；未运行。</x:v>
      </x:c>
    </x:row>
    <x:row r="44" ht="74" customHeight="1">
      <x:c r="A44" s="15" t="n">
        <x:v>40</x:v>
      </x:c>
      <x:c r="B44" s="15" t="str">
        <x:v>DISC-0809-0040</x:v>
      </x:c>
      <x:c r="C44" s="14" t="str">
        <x:v>C 网络安全</x:v>
      </x:c>
      <x:c r="D44" s="14" t="str">
        <x:v>机器人系统安全</x:v>
      </x:c>
      <x:c r="E44" s="14" t="str">
        <x:v>robotics-security</x:v>
      </x:c>
      <x:c r="F44" s="16" t="str">
        <x:v>GitHub</x:v>
      </x:c>
      <x:c r="G44" s="14" t="str">
        <x:v>arpitg1304/robotics-agent-skills</x:v>
      </x:c>
      <x:c r="H44" s="14" t="str">
        <x:v>https://github.com/arpitg1304/robotics-agent-skills/blob/1147a77bc6cfb427c41a1d7284281e6bb60330d7/skills/robotics-security/SKILL.md</x:v>
      </x:c>
      <x:c r="I44" s="14" t="str">
        <x:v>覆盖 SROS2、DDS 加密、网络分段、密钥和物理—网络安全。</x:v>
      </x:c>
      <x:c r="J44" s="14" t="str">
        <x:v>网络工程、信息安全、网络空间安全、物联网工程、保密管理</x:v>
      </x:c>
      <x:c r="K44" s="16" t="str">
        <x:v>专业核心 / 跨专业通用</x:v>
      </x:c>
      <x:c r="L44" s="16" t="str">
        <x:v>SB</x:v>
      </x:c>
      <x:c r="M44" s="16" t="str">
        <x:v>限制使用</x:v>
      </x:c>
      <x:c r="N44" s="14" t="str">
        <x:v>可调用子进程；含文件写入示例或实现；含删除相关示例；含系统级/高权限命令示例</x:v>
      </x:c>
      <x:c r="O44" s="14" t="str">
        <x:v>包含外部链接、下载、API 或网络访问说明；涉及凭据、令牌或秘密管理语境；包含上传、发布、推送、部署或其他外部状态行为</x:v>
      </x:c>
      <x:c r="P44" s="14" t="str">
        <x:v>在隔离项目目录内使用，所有状态改变均需人工确认；默认断网；确需联网时只开放已核准域名且不得发送校内敏感数据；不得读取或回显现有凭据，令牌由用户侧最小权限注入；输出限于显式指定的新目录，禁止覆盖原文件；删除命令从适配版剥离；禁止 sudo、系统服务和系统级配置变更；禁止自动上传、发布、推送、部署、评论或付费任务；先在仿真、断电或教学台架验证，禁止未经授权控制真实设备。</x:v>
      </x:c>
      <x:c r="Q44" s="14" t="str">
        <x:v>完整说明与已审资源；执行步骤仍受限制条件约束</x:v>
      </x:c>
      <x:c r="R44" s="14" t="str">
        <x:v>无强制剥离；按限制条件禁用越权步骤</x:v>
      </x:c>
      <x:c r="S44" s="16" t="str">
        <x:v>高</x:v>
      </x:c>
      <x:c r="T44" s="16" t="str">
        <x:v>Apache-2.0</x:v>
      </x:c>
      <x:c r="U44" s="16" t="str">
        <x:v>1147a77bc6cfb427c41a1d7284281e6bb60330d7</x:v>
      </x:c>
      <x:c r="V44" s="16" t="str">
        <x:v>2026-07-21</x:v>
      </x:c>
      <x:c r="W44" s="16" t="str">
        <x:v>2026-08-07</x:v>
      </x:c>
      <x:c r="X44" s="16" t="n">
        <x:v>1</x:v>
      </x:c>
      <x:c r="Y44" s="16" t="n">
        <x:v>0</x:v>
      </x:c>
      <x:c r="Z44" s="14" t="str">
        <x:v>静态三级验证：读取入口、枚举包结构、扫描脚本/依赖/网络/凭据/写入；未运行。</x:v>
      </x:c>
    </x:row>
    <x:row r="45" ht="74" customHeight="1">
      <x:c r="A45" s="15" t="n">
        <x:v>41</x:v>
      </x:c>
      <x:c r="B45" s="15" t="str">
        <x:v>DISC-0809-0041</x:v>
      </x:c>
      <x:c r="C45" s="14" t="str">
        <x:v>C 网络安全</x:v>
      </x:c>
      <x:c r="D45" s="14" t="str">
        <x:v>应用安全</x:v>
      </x:c>
      <x:c r="E45" s="14" t="str">
        <x:v>application-security</x:v>
      </x:c>
      <x:c r="F45" s="16" t="str">
        <x:v>GitHub</x:v>
      </x:c>
      <x:c r="G45" s="14" t="str">
        <x:v>travisjneuman/.claude</x:v>
      </x:c>
      <x:c r="H45" s="14" t="str">
        <x:v>https://github.com/travisjneuman/.claude/blob/e74cd20465be466b0f30c19da760bc986c50177f/skills/application-security/SKILL.md</x:v>
      </x:c>
      <x:c r="I45" s="14" t="str">
        <x:v>以 OWASP、输入验证、依赖扫描和安全响应头加固 Web 应用。</x:v>
      </x:c>
      <x:c r="J45" s="14" t="str">
        <x:v>网络工程、信息安全、网络空间安全、物联网工程、保密管理</x:v>
      </x:c>
      <x:c r="K45" s="16" t="str">
        <x:v>专业核心 / 跨专业通用</x:v>
      </x:c>
      <x:c r="L45" s="16" t="str">
        <x:v>SB</x:v>
      </x:c>
      <x:c r="M45" s="16" t="str">
        <x:v>限制使用</x:v>
      </x:c>
      <x:c r="N45" s="14" t="str">
        <x:v>未见随包可执行载荷；主要为说明、模板或参考资料</x:v>
      </x:c>
      <x:c r="O45" s="14" t="str">
        <x:v>包含外部链接、下载、API 或网络访问说明；涉及凭据、令牌或秘密管理语境</x:v>
      </x:c>
      <x:c r="P45" s="14" t="str">
        <x:v>在隔离项目目录内使用，所有状态改变均需人工确认；默认断网；确需联网时只开放已核准域名且不得发送校内敏感数据；不得读取或回显现有凭据，令牌由用户侧最小权限注入。</x:v>
      </x:c>
      <x:c r="Q45" s="14" t="str">
        <x:v>完整说明与已审资源；执行步骤仍受限制条件约束</x:v>
      </x:c>
      <x:c r="R45" s="14" t="str">
        <x:v>无强制剥离；按限制条件禁用越权步骤</x:v>
      </x:c>
      <x:c r="S45" s="16" t="str">
        <x:v>中</x:v>
      </x:c>
      <x:c r="T45" s="16" t="str">
        <x:v>MIT</x:v>
      </x:c>
      <x:c r="U45" s="16" t="str">
        <x:v>e74cd20465be466b0f30c19da760bc986c50177f</x:v>
      </x:c>
      <x:c r="V45" s="16" t="str">
        <x:v>2026-07-17</x:v>
      </x:c>
      <x:c r="W45" s="16" t="str">
        <x:v>2026-08-07</x:v>
      </x:c>
      <x:c r="X45" s="16" t="n">
        <x:v>1</x:v>
      </x:c>
      <x:c r="Y45" s="16" t="n">
        <x:v>0</x:v>
      </x:c>
      <x:c r="Z45" s="14" t="str">
        <x:v>静态三级验证：读取入口、枚举包结构、扫描脚本/依赖/网络/凭据/写入；未运行。</x:v>
      </x:c>
    </x:row>
    <x:row r="46" ht="74" customHeight="1">
      <x:c r="A46" s="15" t="n">
        <x:v>42</x:v>
      </x:c>
      <x:c r="B46" s="15" t="str">
        <x:v>DISC-0809-0042</x:v>
      </x:c>
      <x:c r="C46" s="14" t="str">
        <x:v>C 网络安全</x:v>
      </x:c>
      <x:c r="D46" s="14" t="str">
        <x:v>攻击树构建</x:v>
      </x:c>
      <x:c r="E46" s="14" t="str">
        <x:v>attack-tree-construction</x:v>
      </x:c>
      <x:c r="F46" s="16" t="str">
        <x:v>GitHub</x:v>
      </x:c>
      <x:c r="G46" s="14" t="str">
        <x:v>wshobson/agents</x:v>
      </x:c>
      <x:c r="H46" s="14" t="str">
        <x:v>https://github.com/wshobson/agents/blob/c4b82b0ad771190355eb8e204b1329732a18449a/plugins/security-scanning/skills/attack-tree-construction/SKILL.md</x:v>
      </x:c>
      <x:c r="I46" s="14" t="str">
        <x:v>以目标、路径、前置条件和防御缺口可视化攻击场景。</x:v>
      </x:c>
      <x:c r="J46" s="14" t="str">
        <x:v>网络工程、信息安全、网络空间安全、物联网工程、保密管理</x:v>
      </x:c>
      <x:c r="K46" s="16" t="str">
        <x:v>专业核心 / 跨专业通用</x:v>
      </x:c>
      <x:c r="L46" s="16" t="str">
        <x:v>SA</x:v>
      </x:c>
      <x:c r="M46" s="16" t="str">
        <x:v>原包可用</x:v>
      </x:c>
      <x:c r="N46" s="14" t="str">
        <x:v>含文件写入示例或实现</x:v>
      </x:c>
      <x:c r="O46" s="14" t="str">
        <x:v>涉及凭据、令牌或秘密管理语境</x:v>
      </x:c>
      <x:c r="P46" s="14" t="str">
        <x:v>按只读说明/模板使用；仍需人工复核生成内容，不自动提交、发布或替代课程评价。</x:v>
      </x:c>
      <x:c r="Q46" s="14" t="str">
        <x:v>完整说明与已审资源；执行步骤仍受限制条件约束</x:v>
      </x:c>
      <x:c r="R46" s="14" t="str">
        <x:v>无强制剥离；按限制条件禁用越权步骤</x:v>
      </x:c>
      <x:c r="S46" s="16" t="str">
        <x:v>中</x:v>
      </x:c>
      <x:c r="T46" s="16" t="str">
        <x:v>MIT</x:v>
      </x:c>
      <x:c r="U46" s="16" t="str">
        <x:v>c4b82b0ad771190355eb8e204b1329732a18449a</x:v>
      </x:c>
      <x:c r="V46" s="16" t="str">
        <x:v>2026-07-18</x:v>
      </x:c>
      <x:c r="W46" s="16" t="str">
        <x:v>2026-08-07</x:v>
      </x:c>
      <x:c r="X46" s="16" t="n">
        <x:v>2</x:v>
      </x:c>
      <x:c r="Y46" s="16" t="n">
        <x:v>0</x:v>
      </x:c>
      <x:c r="Z46" s="14" t="str">
        <x:v>静态三级验证：读取入口、枚举包结构、扫描脚本/依赖/网络/凭据/写入；未运行。</x:v>
      </x:c>
    </x:row>
    <x:row r="47" ht="74" customHeight="1">
      <x:c r="A47" s="15" t="n">
        <x:v>43</x:v>
      </x:c>
      <x:c r="B47" s="15" t="str">
        <x:v>DISC-0809-0043</x:v>
      </x:c>
      <x:c r="C47" s="14" t="str">
        <x:v>C 网络安全</x:v>
      </x:c>
      <x:c r="D47" s="14" t="str">
        <x:v>认证与授权模式</x:v>
      </x:c>
      <x:c r="E47" s="14" t="str">
        <x:v>auth-implementation-patterns</x:v>
      </x:c>
      <x:c r="F47" s="16" t="str">
        <x:v>GitHub</x:v>
      </x:c>
      <x:c r="G47" s="14" t="str">
        <x:v>wshobson/agents</x:v>
      </x:c>
      <x:c r="H47" s="14" t="str">
        <x:v>https://github.com/wshobson/agents/blob/c4b82b0ad771190355eb8e204b1329732a18449a/plugins/developer-essentials/skills/auth-implementation-patterns/SKILL.md</x:v>
      </x:c>
      <x:c r="I47" s="14" t="str">
        <x:v>覆盖会话、JWT、OAuth2、RBAC、密码和重置安全。</x:v>
      </x:c>
      <x:c r="J47" s="14" t="str">
        <x:v>网络工程、信息安全、网络空间安全、物联网工程、保密管理</x:v>
      </x:c>
      <x:c r="K47" s="16" t="str">
        <x:v>专业核心 / 跨专业通用</x:v>
      </x:c>
      <x:c r="L47" s="16" t="str">
        <x:v>SB</x:v>
      </x:c>
      <x:c r="M47" s="16" t="str">
        <x:v>限制使用</x:v>
      </x:c>
      <x:c r="N47" s="14" t="str">
        <x:v>含删除相关示例</x:v>
      </x:c>
      <x:c r="O47" s="14" t="str">
        <x:v>包含外部链接、下载、API 或网络访问说明；涉及凭据、令牌或秘密管理语境</x:v>
      </x:c>
      <x:c r="P47" s="14" t="str">
        <x:v>在隔离项目目录内使用，所有状态改变均需人工确认；默认断网；确需联网时只开放已核准域名且不得发送校内敏感数据；不得读取或回显现有凭据，令牌由用户侧最小权限注入；删除命令从适配版剥离。</x:v>
      </x:c>
      <x:c r="Q47" s="14" t="str">
        <x:v>完整说明与已审资源；执行步骤仍受限制条件约束</x:v>
      </x:c>
      <x:c r="R47" s="14" t="str">
        <x:v>无强制剥离；按限制条件禁用越权步骤</x:v>
      </x:c>
      <x:c r="S47" s="16" t="str">
        <x:v>高</x:v>
      </x:c>
      <x:c r="T47" s="16" t="str">
        <x:v>MIT</x:v>
      </x:c>
      <x:c r="U47" s="16" t="str">
        <x:v>c4b82b0ad771190355eb8e204b1329732a18449a</x:v>
      </x:c>
      <x:c r="V47" s="16" t="str">
        <x:v>2026-07-18</x:v>
      </x:c>
      <x:c r="W47" s="16" t="str">
        <x:v>2026-08-07</x:v>
      </x:c>
      <x:c r="X47" s="16" t="n">
        <x:v>2</x:v>
      </x:c>
      <x:c r="Y47" s="16" t="n">
        <x:v>0</x:v>
      </x:c>
      <x:c r="Z47" s="14" t="str">
        <x:v>静态三级验证：读取入口、枚举包结构、扫描脚本/依赖/网络/凭据/写入；未运行。</x:v>
      </x:c>
    </x:row>
    <x:row r="48" ht="74" customHeight="1">
      <x:c r="A48" s="15" t="n">
        <x:v>44</x:v>
      </x:c>
      <x:c r="B48" s="15" t="str">
        <x:v>DISC-0809-0044</x:v>
      </x:c>
      <x:c r="C48" s="14" t="str">
        <x:v>C 网络安全</x:v>
      </x:c>
      <x:c r="D48" s="14" t="str">
        <x:v>安全需求提取</x:v>
      </x:c>
      <x:c r="E48" s="14" t="str">
        <x:v>security-requirement-extraction</x:v>
      </x:c>
      <x:c r="F48" s="16" t="str">
        <x:v>GitHub</x:v>
      </x:c>
      <x:c r="G48" s="14" t="str">
        <x:v>wshobson/agents</x:v>
      </x:c>
      <x:c r="H48" s="14" t="str">
        <x:v>https://github.com/wshobson/agents/blob/c4b82b0ad771190355eb8e204b1329732a18449a/plugins/security-scanning/skills/security-requirement-extraction/SKILL.md</x:v>
      </x:c>
      <x:c r="I48" s="14" t="str">
        <x:v>从业务、资产、威胁和合规约束中形成可验证的安全需求。</x:v>
      </x:c>
      <x:c r="J48" s="14" t="str">
        <x:v>网络工程、信息安全、网络空间安全、物联网工程、保密管理</x:v>
      </x:c>
      <x:c r="K48" s="16" t="str">
        <x:v>专业核心 / 跨专业通用</x:v>
      </x:c>
      <x:c r="L48" s="16" t="str">
        <x:v>SA</x:v>
      </x:c>
      <x:c r="M48" s="16" t="str">
        <x:v>原包可用</x:v>
      </x:c>
      <x:c r="N48" s="14" t="str">
        <x:v>未见随包可执行载荷；主要为说明、模板或参考资料</x:v>
      </x:c>
      <x:c r="O48" s="14" t="str">
        <x:v>包含外部链接、下载、API 或网络访问说明；涉及凭据、令牌或秘密管理语境</x:v>
      </x:c>
      <x:c r="P48" s="14" t="str">
        <x:v>按只读说明/模板使用；仍需人工复核生成内容，不自动提交、发布或替代课程评价。</x:v>
      </x:c>
      <x:c r="Q48" s="14" t="str">
        <x:v>完整说明与已审资源；执行步骤仍受限制条件约束</x:v>
      </x:c>
      <x:c r="R48" s="14" t="str">
        <x:v>无强制剥离；按限制条件禁用越权步骤</x:v>
      </x:c>
      <x:c r="S48" s="16" t="str">
        <x:v>高</x:v>
      </x:c>
      <x:c r="T48" s="16" t="str">
        <x:v>MIT</x:v>
      </x:c>
      <x:c r="U48" s="16" t="str">
        <x:v>c4b82b0ad771190355eb8e204b1329732a18449a</x:v>
      </x:c>
      <x:c r="V48" s="16" t="str">
        <x:v>2026-07-18</x:v>
      </x:c>
      <x:c r="W48" s="16" t="str">
        <x:v>2026-08-07</x:v>
      </x:c>
      <x:c r="X48" s="16" t="n">
        <x:v>2</x:v>
      </x:c>
      <x:c r="Y48" s="16" t="n">
        <x:v>0</x:v>
      </x:c>
      <x:c r="Z48" s="14" t="str">
        <x:v>静态三级验证：读取入口、枚举包结构、扫描脚本/依赖/网络/凭据/写入；未运行。</x:v>
      </x:c>
    </x:row>
    <x:row r="49" ht="74" customHeight="1">
      <x:c r="A49" s="15" t="n">
        <x:v>45</x:v>
      </x:c>
      <x:c r="B49" s="15" t="str">
        <x:v>DISC-0809-0045</x:v>
      </x:c>
      <x:c r="C49" s="14" t="str">
        <x:v>C 网络安全</x:v>
      </x:c>
      <x:c r="D49" s="14" t="str">
        <x:v>STRIDE 威胁分析</x:v>
      </x:c>
      <x:c r="E49" s="14" t="str">
        <x:v>stride-analysis-patterns</x:v>
      </x:c>
      <x:c r="F49" s="16" t="str">
        <x:v>GitHub</x:v>
      </x:c>
      <x:c r="G49" s="14" t="str">
        <x:v>wshobson/agents</x:v>
      </x:c>
      <x:c r="H49" s="14" t="str">
        <x:v>https://github.com/wshobson/agents/blob/c4b82b0ad771190355eb8e204b1329732a18449a/plugins/security-scanning/skills/stride-analysis-patterns/SKILL.md</x:v>
      </x:c>
      <x:c r="I49" s="14" t="str">
        <x:v>按仿冒、篡改、抵赖、泄露、拒绝服务和提权系统识别威胁。</x:v>
      </x:c>
      <x:c r="J49" s="14" t="str">
        <x:v>网络工程、信息安全、网络空间安全、物联网工程、保密管理</x:v>
      </x:c>
      <x:c r="K49" s="16" t="str">
        <x:v>专业核心 / 跨专业通用</x:v>
      </x:c>
      <x:c r="L49" s="16" t="str">
        <x:v>SA</x:v>
      </x:c>
      <x:c r="M49" s="16" t="str">
        <x:v>原包可用</x:v>
      </x:c>
      <x:c r="N49" s="14" t="str">
        <x:v>未见随包可执行载荷；主要为说明、模板或参考资料</x:v>
      </x:c>
      <x:c r="O49" s="14" t="str">
        <x:v>包含外部链接、下载、API 或网络访问说明；涉及凭据、令牌或秘密管理语境；包含上传、发布、推送、部署或其他外部状态行为</x:v>
      </x:c>
      <x:c r="P49" s="14" t="str">
        <x:v>按只读说明/模板使用；仍需人工复核生成内容，不自动提交、发布或替代课程评价。</x:v>
      </x:c>
      <x:c r="Q49" s="14" t="str">
        <x:v>完整说明与已审资源；执行步骤仍受限制条件约束</x:v>
      </x:c>
      <x:c r="R49" s="14" t="str">
        <x:v>无强制剥离；按限制条件禁用越权步骤</x:v>
      </x:c>
      <x:c r="S49" s="16" t="str">
        <x:v>高</x:v>
      </x:c>
      <x:c r="T49" s="16" t="str">
        <x:v>MIT</x:v>
      </x:c>
      <x:c r="U49" s="16" t="str">
        <x:v>c4b82b0ad771190355eb8e204b1329732a18449a</x:v>
      </x:c>
      <x:c r="V49" s="16" t="str">
        <x:v>2026-07-18</x:v>
      </x:c>
      <x:c r="W49" s="16" t="str">
        <x:v>2026-08-07</x:v>
      </x:c>
      <x:c r="X49" s="16" t="n">
        <x:v>2</x:v>
      </x:c>
      <x:c r="Y49" s="16" t="n">
        <x:v>0</x:v>
      </x:c>
      <x:c r="Z49" s="14" t="str">
        <x:v>静态三级验证：读取入口、枚举包结构、扫描脚本/依赖/网络/凭据/写入；未运行。</x:v>
      </x:c>
    </x:row>
    <x:row r="50" ht="74" customHeight="1">
      <x:c r="A50" s="15" t="n">
        <x:v>46</x:v>
      </x:c>
      <x:c r="B50" s="15" t="str">
        <x:v>DISC-0809-0046</x:v>
      </x:c>
      <x:c r="C50" s="14" t="str">
        <x:v>C 网络安全</x:v>
      </x:c>
      <x:c r="D50" s="14" t="str">
        <x:v>威胁—缓解措施映射</x:v>
      </x:c>
      <x:c r="E50" s="14" t="str">
        <x:v>threat-mitigation-mapping</x:v>
      </x:c>
      <x:c r="F50" s="16" t="str">
        <x:v>GitHub</x:v>
      </x:c>
      <x:c r="G50" s="14" t="str">
        <x:v>wshobson/agents</x:v>
      </x:c>
      <x:c r="H50" s="14" t="str">
        <x:v>https://github.com/wshobson/agents/blob/c4b82b0ad771190355eb8e204b1329732a18449a/plugins/security-scanning/skills/threat-mitigation-mapping/SKILL.md</x:v>
      </x:c>
      <x:c r="I50" s="14" t="str">
        <x:v>把已识别威胁映射到控制、优先级、责任人和验证方式。</x:v>
      </x:c>
      <x:c r="J50" s="14" t="str">
        <x:v>网络工程、信息安全、网络空间安全、物联网工程、保密管理</x:v>
      </x:c>
      <x:c r="K50" s="16" t="str">
        <x:v>专业核心 / 跨专业通用</x:v>
      </x:c>
      <x:c r="L50" s="16" t="str">
        <x:v>SA</x:v>
      </x:c>
      <x:c r="M50" s="16" t="str">
        <x:v>原包可用</x:v>
      </x:c>
      <x:c r="N50" s="14" t="str">
        <x:v>含文件写入示例或实现</x:v>
      </x:c>
      <x:c r="O50" s="14" t="str">
        <x:v>包含外部链接、下载、API 或网络访问说明；包含上传、发布、推送、部署或其他外部状态行为</x:v>
      </x:c>
      <x:c r="P50" s="14" t="str">
        <x:v>按只读说明/模板使用；仍需人工复核生成内容，不自动提交、发布或替代课程评价。</x:v>
      </x:c>
      <x:c r="Q50" s="14" t="str">
        <x:v>完整说明与已审资源；执行步骤仍受限制条件约束</x:v>
      </x:c>
      <x:c r="R50" s="14" t="str">
        <x:v>无强制剥离；按限制条件禁用越权步骤</x:v>
      </x:c>
      <x:c r="S50" s="16" t="str">
        <x:v>中</x:v>
      </x:c>
      <x:c r="T50" s="16" t="str">
        <x:v>MIT</x:v>
      </x:c>
      <x:c r="U50" s="16" t="str">
        <x:v>c4b82b0ad771190355eb8e204b1329732a18449a</x:v>
      </x:c>
      <x:c r="V50" s="16" t="str">
        <x:v>2026-07-18</x:v>
      </x:c>
      <x:c r="W50" s="16" t="str">
        <x:v>2026-08-07</x:v>
      </x:c>
      <x:c r="X50" s="16" t="n">
        <x:v>2</x:v>
      </x:c>
      <x:c r="Y50" s="16" t="n">
        <x:v>0</x:v>
      </x:c>
      <x:c r="Z50" s="14" t="str">
        <x:v>静态三级验证：读取入口、枚举包结构、扫描脚本/依赖/网络/凭据/写入；未运行。</x:v>
      </x:c>
    </x:row>
    <x:row r="51" ht="74" customHeight="1">
      <x:c r="A51" s="15" t="n">
        <x:v>47</x:v>
      </x:c>
      <x:c r="B51" s="15" t="str">
        <x:v>DISC-0809-0047</x:v>
      </x:c>
      <x:c r="C51" s="14" t="str">
        <x:v>D 物联网</x:v>
      </x:c>
      <x:c r="D51" s="14" t="str">
        <x:v>机器人设计模式</x:v>
      </x:c>
      <x:c r="E51" s="14" t="str">
        <x:v>robotics-design-patterns</x:v>
      </x:c>
      <x:c r="F51" s="16" t="str">
        <x:v>GitHub</x:v>
      </x:c>
      <x:c r="G51" s="14" t="str">
        <x:v>arpitg1304/robotics-agent-skills</x:v>
      </x:c>
      <x:c r="H51" s="14" t="str">
        <x:v>https://github.com/arpitg1304/robotics-agent-skills/blob/1147a77bc6cfb427c41a1d7284281e6bb60330d7/skills/robotics-design-patterns/SKILL.md</x:v>
      </x:c>
      <x:c r="I51" s="14" t="str">
        <x:v>设计感知—规划—控制栈、行为树、安全层和硬件抽象。</x:v>
      </x:c>
      <x:c r="J51" s="14" t="str">
        <x:v>物联网工程、电子与计算机工程、计算机科学与技术、智能科学与技术</x:v>
      </x:c>
      <x:c r="K51" s="16" t="str">
        <x:v>专业核心</x:v>
      </x:c>
      <x:c r="L51" s="16" t="str">
        <x:v>SA</x:v>
      </x:c>
      <x:c r="M51" s="16" t="str">
        <x:v>原包可用</x:v>
      </x:c>
      <x:c r="N51" s="14" t="str">
        <x:v>含文件写入示例或实现</x:v>
      </x:c>
      <x:c r="O51" s="14" t="str">
        <x:v>包含上传、发布、推送、部署或其他外部状态行为</x:v>
      </x:c>
      <x:c r="P51" s="14" t="str">
        <x:v>按只读说明/模板使用；仍需人工复核生成内容，不自动提交、发布或替代课程评价。</x:v>
      </x:c>
      <x:c r="Q51" s="14" t="str">
        <x:v>完整说明与已审资源；执行步骤仍受限制条件约束</x:v>
      </x:c>
      <x:c r="R51" s="14" t="str">
        <x:v>无强制剥离；按限制条件禁用越权步骤</x:v>
      </x:c>
      <x:c r="S51" s="16" t="str">
        <x:v>中</x:v>
      </x:c>
      <x:c r="T51" s="16" t="str">
        <x:v>Apache-2.0</x:v>
      </x:c>
      <x:c r="U51" s="16" t="str">
        <x:v>1147a77bc6cfb427c41a1d7284281e6bb60330d7</x:v>
      </x:c>
      <x:c r="V51" s="16" t="str">
        <x:v>2026-07-21</x:v>
      </x:c>
      <x:c r="W51" s="16" t="str">
        <x:v>2026-08-07</x:v>
      </x:c>
      <x:c r="X51" s="16" t="n">
        <x:v>1</x:v>
      </x:c>
      <x:c r="Y51" s="16" t="n">
        <x:v>0</x:v>
      </x:c>
      <x:c r="Z51" s="14" t="str">
        <x:v>静态三级验证：读取入口、枚举包结构、扫描脚本/依赖/网络/凭据/写入；未运行。</x:v>
      </x:c>
    </x:row>
    <x:row r="52" ht="74" customHeight="1">
      <x:c r="A52" s="15" t="n">
        <x:v>48</x:v>
      </x:c>
      <x:c r="B52" s="15" t="str">
        <x:v>DISC-0809-0048</x:v>
      </x:c>
      <x:c r="C52" s="14" t="str">
        <x:v>D 物联网</x:v>
      </x:c>
      <x:c r="D52" s="14" t="str">
        <x:v>机器人软件原则</x:v>
      </x:c>
      <x:c r="E52" s="14" t="str">
        <x:v>robotics-software-principles</x:v>
      </x:c>
      <x:c r="F52" s="16" t="str">
        <x:v>GitHub</x:v>
      </x:c>
      <x:c r="G52" s="14" t="str">
        <x:v>arpitg1304/robotics-agent-skills</x:v>
      </x:c>
      <x:c r="H52" s="14" t="str">
        <x:v>https://github.com/arpitg1304/robotics-agent-skills/blob/1147a77bc6cfb427c41a1d7284281e6bb60330d7/skills/robotics-software-principles/SKILL.md</x:v>
      </x:c>
      <x:c r="I52" s="14" t="str">
        <x:v>把 SOLID、依赖反转、实时约束和仿真替身用于机器人软件。</x:v>
      </x:c>
      <x:c r="J52" s="14" t="str">
        <x:v>物联网工程、电子与计算机工程、计算机科学与技术、智能科学与技术</x:v>
      </x:c>
      <x:c r="K52" s="16" t="str">
        <x:v>专业核心</x:v>
      </x:c>
      <x:c r="L52" s="16" t="str">
        <x:v>SA</x:v>
      </x:c>
      <x:c r="M52" s="16" t="str">
        <x:v>原包可用</x:v>
      </x:c>
      <x:c r="N52" s="14" t="str">
        <x:v>含文件写入示例或实现</x:v>
      </x:c>
      <x:c r="O52" s="14" t="str">
        <x:v>未见必要的凭据或外部写入行为</x:v>
      </x:c>
      <x:c r="P52" s="14" t="str">
        <x:v>按只读说明/模板使用；仍需人工复核生成内容，不自动提交、发布或替代课程评价。</x:v>
      </x:c>
      <x:c r="Q52" s="14" t="str">
        <x:v>完整说明与已审资源；执行步骤仍受限制条件约束</x:v>
      </x:c>
      <x:c r="R52" s="14" t="str">
        <x:v>无强制剥离；按限制条件禁用越权步骤</x:v>
      </x:c>
      <x:c r="S52" s="16" t="str">
        <x:v>中</x:v>
      </x:c>
      <x:c r="T52" s="16" t="str">
        <x:v>Apache-2.0</x:v>
      </x:c>
      <x:c r="U52" s="16" t="str">
        <x:v>1147a77bc6cfb427c41a1d7284281e6bb60330d7</x:v>
      </x:c>
      <x:c r="V52" s="16" t="str">
        <x:v>2026-07-21</x:v>
      </x:c>
      <x:c r="W52" s="16" t="str">
        <x:v>2026-08-07</x:v>
      </x:c>
      <x:c r="X52" s="16" t="n">
        <x:v>1</x:v>
      </x:c>
      <x:c r="Y52" s="16" t="n">
        <x:v>0</x:v>
      </x:c>
      <x:c r="Z52" s="14" t="str">
        <x:v>静态三级验证：读取入口、枚举包结构、扫描脚本/依赖/网络/凭据/写入；未运行。</x:v>
      </x:c>
    </x:row>
    <x:row r="53" ht="74" customHeight="1">
      <x:c r="A53" s="15" t="n">
        <x:v>49</x:v>
      </x:c>
      <x:c r="B53" s="15" t="str">
        <x:v>DISC-0809-0049</x:v>
      </x:c>
      <x:c r="C53" s="14" t="str">
        <x:v>D 物联网</x:v>
      </x:c>
      <x:c r="D53" s="14" t="str">
        <x:v>机器人软件测试</x:v>
      </x:c>
      <x:c r="E53" s="14" t="str">
        <x:v>robotics-testing</x:v>
      </x:c>
      <x:c r="F53" s="16" t="str">
        <x:v>GitHub</x:v>
      </x:c>
      <x:c r="G53" s="14" t="str">
        <x:v>arpitg1304/robotics-agent-skills</x:v>
      </x:c>
      <x:c r="H53" s="14" t="str">
        <x:v>https://github.com/arpitg1304/robotics-agent-skills/blob/1147a77bc6cfb427c41a1d7284281e6bb60330d7/skills/robotics-testing/SKILL.md</x:v>
      </x:c>
      <x:c r="I53" s="14" t="str">
        <x:v>组织单元、集成、仿真、硬件在环和确定性回放测试。</x:v>
      </x:c>
      <x:c r="J53" s="14" t="str">
        <x:v>物联网工程、电子与计算机工程、计算机科学与技术、智能科学与技术</x:v>
      </x:c>
      <x:c r="K53" s="16" t="str">
        <x:v>专业核心</x:v>
      </x:c>
      <x:c r="L53" s="16" t="str">
        <x:v>SB-A</x:v>
      </x:c>
      <x:c r="M53" s="16" t="str">
        <x:v>仅适配后使用</x:v>
      </x:c>
      <x:c r="N53" s="14" t="str">
        <x:v>含文件写入示例或实现</x:v>
      </x:c>
      <x:c r="O53" s="14" t="str">
        <x:v>包含上传、发布、推送、部署或其他外部状态行为</x:v>
      </x:c>
      <x:c r="P53" s="14" t="str">
        <x:v>在隔离项目目录内使用，所有状态改变均需人工确认；移除未锁版本安装与远程执行示例，依赖固定版本和哈希；输出限于显式指定的新目录，禁止覆盖原文件；禁止自动上传、发布、推送、部署、评论或付费任务。</x:v>
      </x:c>
      <x:c r="Q53" s="14" t="str">
        <x:v>SKILL.md、说明型 references 与非可执行模板；脚本仅在逐文件复核且固定依赖后单独启用</x:v>
      </x:c>
      <x:c r="R53" s="14" t="str">
        <x:v>移除未锁安装、下载后执行、自动上传/发布/推送/部署、凭据读取和高权限命令；不整包安装</x:v>
      </x:c>
      <x:c r="S53" s="16" t="str">
        <x:v>中</x:v>
      </x:c>
      <x:c r="T53" s="16" t="str">
        <x:v>Apache-2.0</x:v>
      </x:c>
      <x:c r="U53" s="16" t="str">
        <x:v>1147a77bc6cfb427c41a1d7284281e6bb60330d7</x:v>
      </x:c>
      <x:c r="V53" s="16" t="str">
        <x:v>2026-07-21</x:v>
      </x:c>
      <x:c r="W53" s="16" t="str">
        <x:v>2026-08-07</x:v>
      </x:c>
      <x:c r="X53" s="16" t="n">
        <x:v>1</x:v>
      </x:c>
      <x:c r="Y53" s="16" t="n">
        <x:v>0</x:v>
      </x:c>
      <x:c r="Z53" s="14" t="str">
        <x:v>静态三级验证：读取入口、枚举包结构、扫描脚本/依赖/网络/凭据/写入；未运行。</x:v>
      </x:c>
    </x:row>
    <x:row r="54" ht="74" customHeight="1">
      <x:c r="A54" s="15" t="n">
        <x:v>50</x:v>
      </x:c>
      <x:c r="B54" s="15" t="str">
        <x:v>DISC-0809-0050</x:v>
      </x:c>
      <x:c r="C54" s="14" t="str">
        <x:v>D 物联网</x:v>
      </x:c>
      <x:c r="D54" s="14" t="str">
        <x:v>嵌入式与物联网基础</x:v>
      </x:c>
      <x:c r="E54" s="14" t="str">
        <x:v>embedded-iot</x:v>
      </x:c>
      <x:c r="F54" s="16" t="str">
        <x:v>GitHub</x:v>
      </x:c>
      <x:c r="G54" s="14" t="str">
        <x:v>travisjneuman/.claude</x:v>
      </x:c>
      <x:c r="H54" s="14" t="str">
        <x:v>https://github.com/travisjneuman/.claude/blob/e74cd20465be466b0f30c19da760bc986c50177f/skills/embedded-iot/SKILL.md</x:v>
      </x:c>
      <x:c r="I54" s="14" t="str">
        <x:v>覆盖微控制器、RTOS、MQTT/CoAP/BLE 与 I2C/SPI/UART 模式。</x:v>
      </x:c>
      <x:c r="J54" s="14" t="str">
        <x:v>物联网工程、电子与计算机工程、计算机科学与技术、智能科学与技术</x:v>
      </x:c>
      <x:c r="K54" s="16" t="str">
        <x:v>专业核心</x:v>
      </x:c>
      <x:c r="L54" s="16" t="str">
        <x:v>SA</x:v>
      </x:c>
      <x:c r="M54" s="16" t="str">
        <x:v>原包可用</x:v>
      </x:c>
      <x:c r="N54" s="14" t="str">
        <x:v>含删除相关示例</x:v>
      </x:c>
      <x:c r="O54" s="14" t="str">
        <x:v>未见必要的凭据或外部写入行为</x:v>
      </x:c>
      <x:c r="P54" s="14" t="str">
        <x:v>按只读说明/模板使用；仍需人工复核生成内容，不自动提交、发布或替代课程评价。</x:v>
      </x:c>
      <x:c r="Q54" s="14" t="str">
        <x:v>完整说明与已审资源；执行步骤仍受限制条件约束</x:v>
      </x:c>
      <x:c r="R54" s="14" t="str">
        <x:v>无强制剥离；按限制条件禁用越权步骤</x:v>
      </x:c>
      <x:c r="S54" s="16" t="str">
        <x:v>高</x:v>
      </x:c>
      <x:c r="T54" s="16" t="str">
        <x:v>MIT</x:v>
      </x:c>
      <x:c r="U54" s="16" t="str">
        <x:v>e74cd20465be466b0f30c19da760bc986c50177f</x:v>
      </x:c>
      <x:c r="V54" s="16" t="str">
        <x:v>2026-07-17</x:v>
      </x:c>
      <x:c r="W54" s="16" t="str">
        <x:v>2026-08-07</x:v>
      </x:c>
      <x:c r="X54" s="16" t="n">
        <x:v>1</x:v>
      </x:c>
      <x:c r="Y54" s="16" t="n">
        <x:v>0</x:v>
      </x:c>
      <x:c r="Z54" s="14" t="str">
        <x:v>静态三级验证：读取入口、枚举包结构、扫描脚本/依赖/网络/凭据/写入；未运行。</x:v>
      </x:c>
    </x:row>
    <x:row r="55" ht="74" customHeight="1">
      <x:c r="A55" s="15" t="n">
        <x:v>51</x:v>
      </x:c>
      <x:c r="B55" s="15" t="str">
        <x:v>DISC-0809-0051</x:v>
      </x:c>
      <x:c r="C55" s="14" t="str">
        <x:v>D 物联网</x:v>
      </x:c>
      <x:c r="D55" s="14" t="str">
        <x:v>Arduino 代码生成</x:v>
      </x:c>
      <x:c r="E55" s="14" t="str">
        <x:v>arduino-code-generator</x:v>
      </x:c>
      <x:c r="F55" s="16" t="str">
        <x:v>GitHub</x:v>
      </x:c>
      <x:c r="G55" s="14" t="str">
        <x:v>wedsamuel1230/arduino-skills</x:v>
      </x:c>
      <x:c r="H55" s="14" t="str">
        <x:v>https://github.com/wedsamuel1230/arduino-skills/blob/fdce2a4f6069503b1c907f51f2611597f34b4fda/skills/arduino-code-generator/SKILL.md</x:v>
      </x:c>
      <x:c r="I55" s="14" t="str">
        <x:v>为常见传感器、执行器、总线和非阻塞状态机生成嵌入式 C++ 模式。</x:v>
      </x:c>
      <x:c r="J55" s="14" t="str">
        <x:v>物联网工程、电子与计算机工程、计算机科学与技术、智能科学与技术</x:v>
      </x:c>
      <x:c r="K55" s="16" t="str">
        <x:v>专业核心</x:v>
      </x:c>
      <x:c r="L55" s="16" t="str">
        <x:v>SB</x:v>
      </x:c>
      <x:c r="M55" s="16" t="str">
        <x:v>限制使用</x:v>
      </x:c>
      <x:c r="N55" s="14" t="str">
        <x:v>含 3 个脚本文件；含文件写入示例或实现</x:v>
      </x:c>
      <x:c r="O55" s="14" t="str">
        <x:v>包含外部链接、下载、API 或网络访问说明；涉及凭据、令牌或秘密管理语境；包含上传、发布、推送、部署或其他外部状态行为</x:v>
      </x:c>
      <x:c r="P55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；输出限于显式指定的新目录，禁止覆盖原文件；禁止自动上传、发布、推送、部署、评论或付费任务。</x:v>
      </x:c>
      <x:c r="Q55" s="14" t="str">
        <x:v>完整说明与已审资源；执行步骤仍受限制条件约束</x:v>
      </x:c>
      <x:c r="R55" s="14" t="str">
        <x:v>无强制剥离；按限制条件禁用越权步骤</x:v>
      </x:c>
      <x:c r="S55" s="16" t="str">
        <x:v>中</x:v>
      </x:c>
      <x:c r="T55" s="16" t="str">
        <x:v>MIT</x:v>
      </x:c>
      <x:c r="U55" s="16" t="str">
        <x:v>fdce2a4f6069503b1c907f51f2611597f34b4fda</x:v>
      </x:c>
      <x:c r="V55" s="16" t="str">
        <x:v>2026-05-27</x:v>
      </x:c>
      <x:c r="W55" s="16" t="str">
        <x:v>2026-08-07</x:v>
      </x:c>
      <x:c r="X55" s="16" t="n">
        <x:v>35</x:v>
      </x:c>
      <x:c r="Y55" s="16" t="n">
        <x:v>3</x:v>
      </x:c>
      <x:c r="Z55" s="14" t="str">
        <x:v>静态三级验证：读取入口、枚举包结构、扫描脚本/依赖/网络/凭据/写入；未运行。</x:v>
      </x:c>
    </x:row>
    <x:row r="56" ht="74" customHeight="1">
      <x:c r="A56" s="15" t="n">
        <x:v>52</x:v>
      </x:c>
      <x:c r="B56" s="15" t="str">
        <x:v>DISC-0809-0052</x:v>
      </x:c>
      <x:c r="C56" s="14" t="str">
        <x:v>D 物联网</x:v>
      </x:c>
      <x:c r="D56" s="14" t="str">
        <x:v>Arduino 项目脚手架</x:v>
      </x:c>
      <x:c r="E56" s="14" t="str">
        <x:v>arduino-project-builder</x:v>
      </x:c>
      <x:c r="F56" s="16" t="str">
        <x:v>GitHub</x:v>
      </x:c>
      <x:c r="G56" s="14" t="str">
        <x:v>wedsamuel1230/arduino-skills</x:v>
      </x:c>
      <x:c r="H56" s="14" t="str">
        <x:v>https://github.com/wedsamuel1230/arduino-skills/blob/fdce2a4f6069503b1c907f51f2611597f34b4fda/skills/arduino-project-builder/SKILL.md</x:v>
      </x:c>
      <x:c r="I56" s="14" t="str">
        <x:v>按板卡和项目类型生成 Arduino/PlatformIO 项目结构与基础文件。</x:v>
      </x:c>
      <x:c r="J56" s="14" t="str">
        <x:v>物联网工程、电子与计算机工程、计算机科学与技术、智能科学与技术</x:v>
      </x:c>
      <x:c r="K56" s="16" t="str">
        <x:v>专业核心</x:v>
      </x:c>
      <x:c r="L56" s="16" t="str">
        <x:v>SB</x:v>
      </x:c>
      <x:c r="M56" s="16" t="str">
        <x:v>限制使用</x:v>
      </x:c>
      <x:c r="N56" s="14" t="str">
        <x:v>含 1 个脚本文件；含文件写入示例或实现；含系统级/高权限命令示例</x:v>
      </x:c>
      <x:c r="O56" s="14" t="str">
        <x:v>涉及凭据、令牌或秘密管理语境；包含上传、发布、推送、部署或其他外部状态行为</x:v>
      </x:c>
      <x:c r="P56" s="14" t="str">
        <x:v>在隔离项目目录内使用，所有状态改变均需人工确认；移除未锁版本安装与远程执行示例，依赖固定版本和哈希；不得读取或回显现有凭据，令牌由用户侧最小权限注入；输出限于显式指定的新目录，禁止覆盖原文件；禁止 sudo、系统服务和系统级配置变更；禁止自动上传、发布、推送、部署、评论或付费任务。</x:v>
      </x:c>
      <x:c r="Q56" s="14" t="str">
        <x:v>完整说明与已审资源；执行步骤仍受限制条件约束</x:v>
      </x:c>
      <x:c r="R56" s="14" t="str">
        <x:v>无强制剥离；按限制条件禁用越权步骤</x:v>
      </x:c>
      <x:c r="S56" s="16" t="str">
        <x:v>中</x:v>
      </x:c>
      <x:c r="T56" s="16" t="str">
        <x:v>MIT</x:v>
      </x:c>
      <x:c r="U56" s="16" t="str">
        <x:v>fdce2a4f6069503b1c907f51f2611597f34b4fda</x:v>
      </x:c>
      <x:c r="V56" s="16" t="str">
        <x:v>2026-05-27</x:v>
      </x:c>
      <x:c r="W56" s="16" t="str">
        <x:v>2026-08-07</x:v>
      </x:c>
      <x:c r="X56" s="16" t="n">
        <x:v>19</x:v>
      </x:c>
      <x:c r="Y56" s="16" t="n">
        <x:v>1</x:v>
      </x:c>
      <x:c r="Z56" s="14" t="str">
        <x:v>静态三级验证：读取入口、枚举包结构、扫描脚本/依赖/网络/凭据/写入；未运行。</x:v>
      </x:c>
    </x:row>
    <x:row r="57" ht="74" customHeight="1">
      <x:c r="A57" s="15" t="n">
        <x:v>53</x:v>
      </x:c>
      <x:c r="B57" s="15" t="str">
        <x:v>DISC-0809-0053</x:v>
      </x:c>
      <x:c r="C57" s="14" t="str">
        <x:v>D 物联网</x:v>
      </x:c>
      <x:c r="D57" s="14" t="str">
        <x:v>电路故障诊断</x:v>
      </x:c>
      <x:c r="E57" s="14" t="str">
        <x:v>circuit-debugger</x:v>
      </x:c>
      <x:c r="F57" s="16" t="str">
        <x:v>GitHub</x:v>
      </x:c>
      <x:c r="G57" s="14" t="str">
        <x:v>wedsamuel1230/arduino-skills</x:v>
      </x:c>
      <x:c r="H57" s="14" t="str">
        <x:v>https://github.com/wedsamuel1230/arduino-skills/blob/fdce2a4f6069503b1c907f51f2611597f34b4fda/skills/circuit-debugger/SKILL.md</x:v>
      </x:c>
      <x:c r="I57" s="14" t="str">
        <x:v>用电源、连通性、信号和最小诊断草图排查硬件故障。</x:v>
      </x:c>
      <x:c r="J57" s="14" t="str">
        <x:v>物联网工程、电子与计算机工程、计算机科学与技术、智能科学与技术</x:v>
      </x:c>
      <x:c r="K57" s="16" t="str">
        <x:v>专业核心</x:v>
      </x:c>
      <x:c r="L57" s="16" t="str">
        <x:v>SB</x:v>
      </x:c>
      <x:c r="M57" s="16" t="str">
        <x:v>限制使用</x:v>
      </x:c>
      <x:c r="N57" s="14" t="str">
        <x:v>含 1 个脚本文件；含文件写入示例或实现</x:v>
      </x:c>
      <x:c r="O57" s="14" t="str">
        <x:v>包含上传、发布、推送、部署或其他外部状态行为</x:v>
      </x:c>
      <x:c r="P57" s="14" t="str">
        <x:v>在隔离项目目录内使用，所有状态改变均需人工确认；移除未锁版本安装与远程执行示例，依赖固定版本和哈希；输出限于显式指定的新目录，禁止覆盖原文件；禁止自动上传、发布、推送、部署、评论或付费任务；先在仿真、断电或教学台架验证，禁止未经授权控制真实设备。</x:v>
      </x:c>
      <x:c r="Q57" s="14" t="str">
        <x:v>完整说明与已审资源；执行步骤仍受限制条件约束</x:v>
      </x:c>
      <x:c r="R57" s="14" t="str">
        <x:v>无强制剥离；按限制条件禁用越权步骤</x:v>
      </x:c>
      <x:c r="S57" s="16" t="str">
        <x:v>中</x:v>
      </x:c>
      <x:c r="T57" s="16" t="str">
        <x:v>MIT</x:v>
      </x:c>
      <x:c r="U57" s="16" t="str">
        <x:v>fdce2a4f6069503b1c907f51f2611597f34b4fda</x:v>
      </x:c>
      <x:c r="V57" s="16" t="str">
        <x:v>2026-05-27</x:v>
      </x:c>
      <x:c r="W57" s="16" t="str">
        <x:v>2026-08-07</x:v>
      </x:c>
      <x:c r="X57" s="16" t="n">
        <x:v>6</x:v>
      </x:c>
      <x:c r="Y57" s="16" t="n">
        <x:v>1</x:v>
      </x:c>
      <x:c r="Z57" s="14" t="str">
        <x:v>静态三级验证：读取入口、枚举包结构、扫描脚本/依赖/网络/凭据/写入；未运行。</x:v>
      </x:c>
    </x:row>
    <x:row r="58" ht="74" customHeight="1">
      <x:c r="A58" s="15" t="n">
        <x:v>54</x:v>
      </x:c>
      <x:c r="B58" s="15" t="str">
        <x:v>DISC-0809-0054</x:v>
      </x:c>
      <x:c r="C58" s="14" t="str">
        <x:v>D 物联网</x:v>
      </x:c>
      <x:c r="D58" s="14" t="str">
        <x:v>器件数据手册解读</x:v>
      </x:c>
      <x:c r="E58" s="14" t="str">
        <x:v>datasheet-interpreter</x:v>
      </x:c>
      <x:c r="F58" s="16" t="str">
        <x:v>GitHub</x:v>
      </x:c>
      <x:c r="G58" s="14" t="str">
        <x:v>wedsamuel1230/arduino-skills</x:v>
      </x:c>
      <x:c r="H58" s="14" t="str">
        <x:v>https://github.com/wedsamuel1230/arduino-skills/blob/fdce2a4f6069503b1c907f51f2611597f34b4fda/skills/datasheet-interpreter/SKILL.md</x:v>
      </x:c>
      <x:c r="I58" s="14" t="str">
        <x:v>从器件 PDF 中提取电气指标、引脚、地址、时序和寄存器信息。</x:v>
      </x:c>
      <x:c r="J58" s="14" t="str">
        <x:v>物联网工程、电子与计算机工程、计算机科学与技术、智能科学与技术</x:v>
      </x:c>
      <x:c r="K58" s="16" t="str">
        <x:v>专业核心</x:v>
      </x:c>
      <x:c r="L58" s="16" t="str">
        <x:v>SB-A</x:v>
      </x:c>
      <x:c r="M58" s="16" t="str">
        <x:v>仅适配后使用</x:v>
      </x:c>
      <x:c r="N58" s="14" t="str">
        <x:v>含 1 个脚本文件；含文件写入示例或实现；含删除相关示例</x:v>
      </x:c>
      <x:c r="O58" s="14" t="str">
        <x:v>包含外部链接、下载、API 或网络访问说明</x:v>
      </x:c>
      <x:c r="P58" s="14" t="str">
        <x:v>在隔离项目目录内使用，所有状态改变均需人工确认；移除未锁版本安装与远程执行示例，依赖固定版本和哈希；默认断网；确需联网时只开放已核准域名且不得发送校内敏感数据；输出限于显式指定的新目录，禁止覆盖原文件；删除命令从适配版剥离。</x:v>
      </x:c>
      <x:c r="Q58" s="14" t="str">
        <x:v>SKILL.md、说明型 references 与非可执行模板；脚本仅在逐文件复核且固定依赖后单独启用</x:v>
      </x:c>
      <x:c r="R58" s="14" t="str">
        <x:v>移除未锁安装、下载后执行、自动上传/发布/推送/部署、凭据读取和高权限命令；不整包安装</x:v>
      </x:c>
      <x:c r="S58" s="16" t="str">
        <x:v>中</x:v>
      </x:c>
      <x:c r="T58" s="16" t="str">
        <x:v>MIT</x:v>
      </x:c>
      <x:c r="U58" s="16" t="str">
        <x:v>fdce2a4f6069503b1c907f51f2611597f34b4fda</x:v>
      </x:c>
      <x:c r="V58" s="16" t="str">
        <x:v>2026-05-27</x:v>
      </x:c>
      <x:c r="W58" s="16" t="str">
        <x:v>2026-08-07</x:v>
      </x:c>
      <x:c r="X58" s="16" t="n">
        <x:v>4</x:v>
      </x:c>
      <x:c r="Y58" s="16" t="n">
        <x:v>1</x:v>
      </x:c>
      <x:c r="Z58" s="14" t="str">
        <x:v>静态三级验证：读取入口、枚举包结构、扫描脚本/依赖/网络/凭据/写入；未运行。</x:v>
      </x:c>
    </x:row>
    <x:row r="59" ht="74" customHeight="1">
      <x:c r="A59" s="15" t="n">
        <x:v>55</x:v>
      </x:c>
      <x:c r="B59" s="15" t="str">
        <x:v>DISC-0809-0055</x:v>
      </x:c>
      <x:c r="C59" s="14" t="str">
        <x:v>D 物联网</x:v>
      </x:c>
      <x:c r="D59" s="14" t="str">
        <x:v>现场供电与连接诊断</x:v>
      </x:c>
      <x:c r="E59" s="14" t="str">
        <x:v>field-power-and-connectivity-triager</x:v>
      </x:c>
      <x:c r="F59" s="16" t="str">
        <x:v>GitHub</x:v>
      </x:c>
      <x:c r="G59" s="14" t="str">
        <x:v>wedsamuel1230/arduino-skills</x:v>
      </x:c>
      <x:c r="H59" s="14" t="str">
        <x:v>https://github.com/wedsamuel1230/arduino-skills/blob/fdce2a4f6069503b1c907f51f2611597f34b4fda/skills/field-power-and-connectivity-triager/SKILL.md</x:v>
      </x:c>
      <x:c r="I59" s="14" t="str">
        <x:v>排查设备离开 USB 台架后出现的掉电、峰值电流和联网故障。</x:v>
      </x:c>
      <x:c r="J59" s="14" t="str">
        <x:v>物联网工程、电子与计算机工程、计算机科学与技术、智能科学与技术</x:v>
      </x:c>
      <x:c r="K59" s="16" t="str">
        <x:v>专业核心</x:v>
      </x:c>
      <x:c r="L59" s="16" t="str">
        <x:v>SB</x:v>
      </x:c>
      <x:c r="M59" s="16" t="str">
        <x:v>限制使用</x:v>
      </x:c>
      <x:c r="N59" s="14" t="str">
        <x:v>未见随包可执行载荷；主要为说明、模板或参考资料</x:v>
      </x:c>
      <x:c r="O59" s="14" t="str">
        <x:v>涉及凭据、令牌或秘密管理语境</x:v>
      </x:c>
      <x:c r="P59" s="14" t="str">
        <x:v>在隔离项目目录内使用，所有状态改变均需人工确认；不得读取或回显现有凭据，令牌由用户侧最小权限注入；先在仿真、断电或教学台架验证，禁止未经授权控制真实设备。</x:v>
      </x:c>
      <x:c r="Q59" s="14" t="str">
        <x:v>完整说明与已审资源；执行步骤仍受限制条件约束</x:v>
      </x:c>
      <x:c r="R59" s="14" t="str">
        <x:v>无强制剥离；按限制条件禁用越权步骤</x:v>
      </x:c>
      <x:c r="S59" s="16" t="str">
        <x:v>中</x:v>
      </x:c>
      <x:c r="T59" s="16" t="str">
        <x:v>MIT</x:v>
      </x:c>
      <x:c r="U59" s="16" t="str">
        <x:v>fdce2a4f6069503b1c907f51f2611597f34b4fda</x:v>
      </x:c>
      <x:c r="V59" s="16" t="str">
        <x:v>2026-05-27</x:v>
      </x:c>
      <x:c r="W59" s="16" t="str">
        <x:v>2026-08-07</x:v>
      </x:c>
      <x:c r="X59" s="16" t="n">
        <x:v>4</x:v>
      </x:c>
      <x:c r="Y59" s="16" t="n">
        <x:v>0</x:v>
      </x:c>
      <x:c r="Z59" s="14" t="str">
        <x:v>静态三级验证：读取入口、枚举包结构、扫描脚本/依赖/网络/凭据/写入；未运行。</x:v>
      </x:c>
    </x:row>
    <x:row r="60" ht="74" customHeight="1">
      <x:c r="A60" s="15" t="n">
        <x:v>56</x:v>
      </x:c>
      <x:c r="B60" s="15" t="str">
        <x:v>DISC-0809-0056</x:v>
      </x:c>
      <x:c r="C60" s="14" t="str">
        <x:v>D 物联网</x:v>
      </x:c>
      <x:c r="D60" s="14" t="str">
        <x:v>FreeRTOS 并发模式</x:v>
      </x:c>
      <x:c r="E60" s="14" t="str">
        <x:v>freertos-patterns</x:v>
      </x:c>
      <x:c r="F60" s="16" t="str">
        <x:v>GitHub</x:v>
      </x:c>
      <x:c r="G60" s="14" t="str">
        <x:v>wedsamuel1230/arduino-skills</x:v>
      </x:c>
      <x:c r="H60" s="14" t="str">
        <x:v>https://github.com/wedsamuel1230/arduino-skills/blob/fdce2a4f6069503b1c907f51f2611597f34b4fda/skills/freertos-patterns/SKILL.md</x:v>
      </x:c>
      <x:c r="I60" s="14" t="str">
        <x:v>指导任务、队列、同步、内存与跨核协作设计。</x:v>
      </x:c>
      <x:c r="J60" s="14" t="str">
        <x:v>物联网工程、电子与计算机工程、计算机科学与技术、智能科学与技术</x:v>
      </x:c>
      <x:c r="K60" s="16" t="str">
        <x:v>专业核心</x:v>
      </x:c>
      <x:c r="L60" s="16" t="str">
        <x:v>SB</x:v>
      </x:c>
      <x:c r="M60" s="16" t="str">
        <x:v>限制使用</x:v>
      </x:c>
      <x:c r="N60" s="14" t="str">
        <x:v>含文件写入示例或实现；含删除相关示例</x:v>
      </x:c>
      <x:c r="O60" s="14" t="str">
        <x:v>未见必要的凭据或外部写入行为</x:v>
      </x:c>
      <x:c r="P60" s="14" t="str">
        <x:v>在隔离项目目录内使用，所有状态改变均需人工确认；输出限于显式指定的新目录，禁止覆盖原文件；删除命令从适配版剥离。</x:v>
      </x:c>
      <x:c r="Q60" s="14" t="str">
        <x:v>完整说明与已审资源；执行步骤仍受限制条件约束</x:v>
      </x:c>
      <x:c r="R60" s="14" t="str">
        <x:v>无强制剥离；按限制条件禁用越权步骤</x:v>
      </x:c>
      <x:c r="S60" s="16" t="str">
        <x:v>高</x:v>
      </x:c>
      <x:c r="T60" s="16" t="str">
        <x:v>MIT</x:v>
      </x:c>
      <x:c r="U60" s="16" t="str">
        <x:v>fdce2a4f6069503b1c907f51f2611597f34b4fda</x:v>
      </x:c>
      <x:c r="V60" s="16" t="str">
        <x:v>2026-05-27</x:v>
      </x:c>
      <x:c r="W60" s="16" t="str">
        <x:v>2026-08-07</x:v>
      </x:c>
      <x:c r="X60" s="16" t="n">
        <x:v>8</x:v>
      </x:c>
      <x:c r="Y60" s="16" t="n">
        <x:v>0</x:v>
      </x:c>
      <x:c r="Z60" s="14" t="str">
        <x:v>静态三级验证：读取入口、枚举包结构、扫描脚本/依赖/网络/凭据/写入；未运行。</x:v>
      </x:c>
    </x:row>
    <x:row r="61" ht="74" customHeight="1">
      <x:c r="A61" s="15" t="n">
        <x:v>57</x:v>
      </x:c>
      <x:c r="B61" s="15" t="str">
        <x:v>DISC-0809-0057</x:v>
      </x:c>
      <x:c r="C61" s="14" t="str">
        <x:v>D 物联网</x:v>
      </x:c>
      <x:c r="D61" s="14" t="str">
        <x:v>I2C 上电调试</x:v>
      </x:c>
      <x:c r="E61" s="14" t="str">
        <x:v>i2c-bringup-diagnostician</x:v>
      </x:c>
      <x:c r="F61" s="16" t="str">
        <x:v>GitHub</x:v>
      </x:c>
      <x:c r="G61" s="14" t="str">
        <x:v>wedsamuel1230/arduino-skills</x:v>
      </x:c>
      <x:c r="H61" s="14" t="str">
        <x:v>https://github.com/wedsamuel1230/arduino-skills/blob/fdce2a4f6069503b1c907f51f2611597f34b4fda/skills/i2c-bringup-diagnostician/SKILL.md</x:v>
      </x:c>
      <x:c r="I61" s="14" t="str">
        <x:v>按电气、地址、扫描器、库和板卡差异定位 I2C 初始化失败。</x:v>
      </x:c>
      <x:c r="J61" s="14" t="str">
        <x:v>物联网工程、电子与计算机工程、计算机科学与技术、智能科学与技术</x:v>
      </x:c>
      <x:c r="K61" s="16" t="str">
        <x:v>专业核心</x:v>
      </x:c>
      <x:c r="L61" s="16" t="str">
        <x:v>SB</x:v>
      </x:c>
      <x:c r="M61" s="16" t="str">
        <x:v>限制使用</x:v>
      </x:c>
      <x:c r="N61" s="14" t="str">
        <x:v>未见随包可执行载荷；主要为说明、模板或参考资料</x:v>
      </x:c>
      <x:c r="O61" s="14" t="str">
        <x:v>未见必要的凭据或外部写入行为</x:v>
      </x:c>
      <x:c r="P61" s="14" t="str">
        <x:v>在隔离项目目录内使用，所有状态改变均需人工确认；先在仿真、断电或教学台架验证，禁止未经授权控制真实设备。</x:v>
      </x:c>
      <x:c r="Q61" s="14" t="str">
        <x:v>完整说明与已审资源；执行步骤仍受限制条件约束</x:v>
      </x:c>
      <x:c r="R61" s="14" t="str">
        <x:v>无强制剥离；按限制条件禁用越权步骤</x:v>
      </x:c>
      <x:c r="S61" s="16" t="str">
        <x:v>中</x:v>
      </x:c>
      <x:c r="T61" s="16" t="str">
        <x:v>MIT</x:v>
      </x:c>
      <x:c r="U61" s="16" t="str">
        <x:v>fdce2a4f6069503b1c907f51f2611597f34b4fda</x:v>
      </x:c>
      <x:c r="V61" s="16" t="str">
        <x:v>2026-05-27</x:v>
      </x:c>
      <x:c r="W61" s="16" t="str">
        <x:v>2026-08-07</x:v>
      </x:c>
      <x:c r="X61" s="16" t="n">
        <x:v>4</x:v>
      </x:c>
      <x:c r="Y61" s="16" t="n">
        <x:v>0</x:v>
      </x:c>
      <x:c r="Z61" s="14" t="str">
        <x:v>静态三级验证：读取入口、枚举包结构、扫描脚本/依赖/网络/凭据/写入；未运行。</x:v>
      </x:c>
    </x:row>
    <x:row r="62" ht="74" customHeight="1">
      <x:c r="A62" s="15" t="n">
        <x:v>58</x:v>
      </x:c>
      <x:c r="B62" s="15" t="str">
        <x:v>DISC-0809-0058</x:v>
      </x:c>
      <x:c r="C62" s="14" t="str">
        <x:v>D 物联网</x:v>
      </x:c>
      <x:c r="D62" s="14" t="str">
        <x:v>嵌入式功耗预算</x:v>
      </x:c>
      <x:c r="E62" s="14" t="str">
        <x:v>power-budget-calculator</x:v>
      </x:c>
      <x:c r="F62" s="16" t="str">
        <x:v>GitHub</x:v>
      </x:c>
      <x:c r="G62" s="14" t="str">
        <x:v>wedsamuel1230/arduino-skills</x:v>
      </x:c>
      <x:c r="H62" s="14" t="str">
        <x:v>https://github.com/wedsamuel1230/arduino-skills/blob/fdce2a4f6069503b1c907f51f2611597f34b4fda/skills/power-budget-calculator/SKILL.md</x:v>
      </x:c>
      <x:c r="I62" s="14" t="str">
        <x:v>估算器件电流、占空比、电池续航和节能空间。</x:v>
      </x:c>
      <x:c r="J62" s="14" t="str">
        <x:v>物联网工程、电子与计算机工程、计算机科学与技术、智能科学与技术</x:v>
      </x:c>
      <x:c r="K62" s="16" t="str">
        <x:v>专业核心</x:v>
      </x:c>
      <x:c r="L62" s="16" t="str">
        <x:v>SB</x:v>
      </x:c>
      <x:c r="M62" s="16" t="str">
        <x:v>限制使用</x:v>
      </x:c>
      <x:c r="N62" s="14" t="str">
        <x:v>含 1 个脚本文件；含文件写入示例或实现</x:v>
      </x:c>
      <x:c r="O62" s="14" t="str">
        <x:v>未见必要的凭据或外部写入行为</x:v>
      </x:c>
      <x:c r="P62" s="14" t="str">
        <x:v>在隔离项目目录内使用，所有状态改变均需人工确认；移除未锁版本安装与远程执行示例，依赖固定版本和哈希；输出限于显式指定的新目录，禁止覆盖原文件。</x:v>
      </x:c>
      <x:c r="Q62" s="14" t="str">
        <x:v>完整说明与已审资源；执行步骤仍受限制条件约束</x:v>
      </x:c>
      <x:c r="R62" s="14" t="str">
        <x:v>无强制剥离；按限制条件禁用越权步骤</x:v>
      </x:c>
      <x:c r="S62" s="16" t="str">
        <x:v>中</x:v>
      </x:c>
      <x:c r="T62" s="16" t="str">
        <x:v>MIT</x:v>
      </x:c>
      <x:c r="U62" s="16" t="str">
        <x:v>fdce2a4f6069503b1c907f51f2611597f34b4fda</x:v>
      </x:c>
      <x:c r="V62" s="16" t="str">
        <x:v>2026-05-27</x:v>
      </x:c>
      <x:c r="W62" s="16" t="str">
        <x:v>2026-08-07</x:v>
      </x:c>
      <x:c r="X62" s="16" t="n">
        <x:v>5</x:v>
      </x:c>
      <x:c r="Y62" s="16" t="n">
        <x:v>1</x:v>
      </x:c>
      <x:c r="Z62" s="14" t="str">
        <x:v>静态三级验证：读取入口、枚举包结构、扫描脚本/依赖/网络/凭据/写入；未运行。</x:v>
      </x:c>
    </x:row>
    <x:row r="63" ht="74" customHeight="1">
      <x:c r="A63" s="15" t="n">
        <x:v>59</x:v>
      </x:c>
      <x:c r="B63" s="15" t="str">
        <x:v>DISC-0809-0059</x:v>
      </x:c>
      <x:c r="C63" s="14" t="str">
        <x:v>D 物联网</x:v>
      </x:c>
      <x:c r="D63" s="14" t="str">
        <x:v>传感器校准工作台</x:v>
      </x:c>
      <x:c r="E63" s="14" t="str">
        <x:v>sensor-calibration-workbench</x:v>
      </x:c>
      <x:c r="F63" s="16" t="str">
        <x:v>GitHub</x:v>
      </x:c>
      <x:c r="G63" s="14" t="str">
        <x:v>wedsamuel1230/arduino-skills</x:v>
      </x:c>
      <x:c r="H63" s="14" t="str">
        <x:v>https://github.com/wedsamuel1230/arduino-skills/blob/fdce2a4f6069503b1c907f51f2611597f34b4fda/skills/sensor-calibration-workbench/SKILL.md</x:v>
      </x:c>
      <x:c r="I63" s="14" t="str">
        <x:v>组织预热、参考测量、系数保存、漂移检查和重校准流程。</x:v>
      </x:c>
      <x:c r="J63" s="14" t="str">
        <x:v>物联网工程、电子与计算机工程、计算机科学与技术、智能科学与技术</x:v>
      </x:c>
      <x:c r="K63" s="16" t="str">
        <x:v>专业核心</x:v>
      </x:c>
      <x:c r="L63" s="16" t="str">
        <x:v>SB</x:v>
      </x:c>
      <x:c r="M63" s="16" t="str">
        <x:v>限制使用</x:v>
      </x:c>
      <x:c r="N63" s="14" t="str">
        <x:v>未见随包可执行载荷；主要为说明、模板或参考资料</x:v>
      </x:c>
      <x:c r="O63" s="14" t="str">
        <x:v>未见必要的凭据或外部写入行为</x:v>
      </x:c>
      <x:c r="P63" s="14" t="str">
        <x:v>在隔离项目目录内使用，所有状态改变均需人工确认。</x:v>
      </x:c>
      <x:c r="Q63" s="14" t="str">
        <x:v>完整说明与已审资源；执行步骤仍受限制条件约束</x:v>
      </x:c>
      <x:c r="R63" s="14" t="str">
        <x:v>无强制剥离；按限制条件禁用越权步骤</x:v>
      </x:c>
      <x:c r="S63" s="16" t="str">
        <x:v>中</x:v>
      </x:c>
      <x:c r="T63" s="16" t="str">
        <x:v>MIT</x:v>
      </x:c>
      <x:c r="U63" s="16" t="str">
        <x:v>fdce2a4f6069503b1c907f51f2611597f34b4fda</x:v>
      </x:c>
      <x:c r="V63" s="16" t="str">
        <x:v>2026-05-27</x:v>
      </x:c>
      <x:c r="W63" s="16" t="str">
        <x:v>2026-08-07</x:v>
      </x:c>
      <x:c r="X63" s="16" t="n">
        <x:v>4</x:v>
      </x:c>
      <x:c r="Y63" s="16" t="n">
        <x:v>0</x:v>
      </x:c>
      <x:c r="Z63" s="14" t="str">
        <x:v>静态三级验证：读取入口、枚举包结构、扫描脚本/依赖/网络/凭据/写入；未运行。</x:v>
      </x:c>
    </x:row>
    <x:row r="64" ht="74" customHeight="1">
      <x:c r="A64" s="15" t="n">
        <x:v>60</x:v>
      </x:c>
      <x:c r="B64" s="15" t="str">
        <x:v>DISC-0809-0060</x:v>
      </x:c>
      <x:c r="C64" s="14" t="str">
        <x:v>E AI与数据</x:v>
      </x:c>
      <x:c r="D64" s="14" t="str">
        <x:v>Dask 并行数据处理</x:v>
      </x:c>
      <x:c r="E64" s="14" t="str">
        <x:v>dask</x:v>
      </x:c>
      <x:c r="F64" s="16" t="str">
        <x:v>GitHub</x:v>
      </x:c>
      <x:c r="G64" s="14" t="str">
        <x:v>K-Dense-AI/scientific-agent-skills</x:v>
      </x:c>
      <x:c r="H64" s="14" t="str">
        <x:v>https://github.com/K-Dense-AI/scientific-agent-skills/blob/d767725c6e93b1d02a220e6be75b261a9833ede5/skills/dask/SKILL.md</x:v>
      </x:c>
      <x:c r="I64" s="14" t="str">
        <x:v>用任务图和分块数据结构处理超内存或可并行的数据工作负载。</x:v>
      </x:c>
      <x:c r="J64" s="14" t="str">
        <x:v>智能科学与技术、数据科学与大数据技术、计算机科学与技术、空间信息与数字技术</x:v>
      </x:c>
      <x:c r="K64" s="16" t="str">
        <x:v>专业核心</x:v>
      </x:c>
      <x:c r="L64" s="16" t="str">
        <x:v>SB-A</x:v>
      </x:c>
      <x:c r="M64" s="16" t="str">
        <x:v>仅适配后使用</x:v>
      </x:c>
      <x:c r="N64" s="14" t="str">
        <x:v>含文件写入示例或实现</x:v>
      </x:c>
      <x:c r="O64" s="14" t="str">
        <x:v>包含外部链接、下载、API 或网络访问说明；涉及凭据、令牌或秘密管理语境；包含上传、发布、推送、部署或其他外部状态行为</x:v>
      </x:c>
      <x:c r="P64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；输出限于显式指定的新目录，禁止覆盖原文件；禁止自动上传、发布、推送、部署、评论或付费任务。</x:v>
      </x:c>
      <x:c r="Q64" s="14" t="str">
        <x:v>SKILL.md、说明型 references 与非可执行模板；脚本仅在逐文件复核且固定依赖后单独启用</x:v>
      </x:c>
      <x:c r="R64" s="14" t="str">
        <x:v>移除未锁安装、下载后执行、自动上传/发布/推送/部署、凭据读取和高权限命令；不整包安装</x:v>
      </x:c>
      <x:c r="S64" s="16" t="str">
        <x:v>中</x:v>
      </x:c>
      <x:c r="T64" s="16" t="str">
        <x:v>MIT</x:v>
      </x:c>
      <x:c r="U64" s="16" t="str">
        <x:v>d767725c6e93b1d02a220e6be75b261a9833ede5</x:v>
      </x:c>
      <x:c r="V64" s="16" t="str">
        <x:v>2026-08-03</x:v>
      </x:c>
      <x:c r="W64" s="16" t="str">
        <x:v>2026-08-07</x:v>
      </x:c>
      <x:c r="X64" s="16" t="n">
        <x:v>7</x:v>
      </x:c>
      <x:c r="Y64" s="16" t="n">
        <x:v>0</x:v>
      </x:c>
      <x:c r="Z64" s="14" t="str">
        <x:v>静态三级验证：读取入口、枚举包结构、扫描脚本/依赖/网络/凭据/写入；未运行。</x:v>
      </x:c>
    </x:row>
    <x:row r="65" ht="74" customHeight="1">
      <x:c r="A65" s="15" t="n">
        <x:v>61</x:v>
      </x:c>
      <x:c r="B65" s="15" t="str">
        <x:v>DISC-0809-0061</x:v>
      </x:c>
      <x:c r="C65" s="14" t="str">
        <x:v>E AI与数据</x:v>
      </x:c>
      <x:c r="D65" s="14" t="str">
        <x:v>探索性数据分析</x:v>
      </x:c>
      <x:c r="E65" s="14" t="str">
        <x:v>exploratory-data-analysis</x:v>
      </x:c>
      <x:c r="F65" s="16" t="str">
        <x:v>GitHub</x:v>
      </x:c>
      <x:c r="G65" s="14" t="str">
        <x:v>K-Dense-AI/scientific-agent-skills</x:v>
      </x:c>
      <x:c r="H65" s="14" t="str">
        <x:v>https://github.com/K-Dense-AI/scientific-agent-skills/blob/d767725c6e93b1d02a220e6be75b261a9833ede5/skills/exploratory-data-analysis/SKILL.md</x:v>
      </x:c>
      <x:c r="I65" s="14" t="str">
        <x:v>从数据质量、分布、关系、异常和可复现报告开展 EDA。</x:v>
      </x:c>
      <x:c r="J65" s="14" t="str">
        <x:v>智能科学与技术、数据科学与大数据技术、计算机科学与技术、空间信息与数字技术</x:v>
      </x:c>
      <x:c r="K65" s="16" t="str">
        <x:v>专业核心</x:v>
      </x:c>
      <x:c r="L65" s="16" t="str">
        <x:v>SB-A</x:v>
      </x:c>
      <x:c r="M65" s="16" t="str">
        <x:v>仅适配后使用</x:v>
      </x:c>
      <x:c r="N65" s="14" t="str">
        <x:v>含 13 个脚本文件；含文件写入示例或实现；含删除相关示例</x:v>
      </x:c>
      <x:c r="O65" s="14" t="str">
        <x:v>包含外部链接、下载、API 或网络访问说明</x:v>
      </x:c>
      <x:c r="P65" s="14" t="str">
        <x:v>在隔离项目目录内使用，所有状态改变均需人工确认；移除未锁版本安装与远程执行示例，依赖固定版本和哈希；默认断网；确需联网时只开放已核准域名且不得发送校内敏感数据；输出限于显式指定的新目录，禁止覆盖原文件；删除命令从适配版剥离。</x:v>
      </x:c>
      <x:c r="Q65" s="14" t="str">
        <x:v>SKILL.md、说明型 references 与非可执行模板；脚本仅在逐文件复核且固定依赖后单独启用</x:v>
      </x:c>
      <x:c r="R65" s="14" t="str">
        <x:v>移除未锁安装、下载后执行、自动上传/发布/推送/部署、凭据读取和高权限命令；不整包安装</x:v>
      </x:c>
      <x:c r="S65" s="16" t="str">
        <x:v>高</x:v>
      </x:c>
      <x:c r="T65" s="16" t="str">
        <x:v>MIT</x:v>
      </x:c>
      <x:c r="U65" s="16" t="str">
        <x:v>d767725c6e93b1d02a220e6be75b261a9833ede5</x:v>
      </x:c>
      <x:c r="V65" s="16" t="str">
        <x:v>2026-08-03</x:v>
      </x:c>
      <x:c r="W65" s="16" t="str">
        <x:v>2026-08-07</x:v>
      </x:c>
      <x:c r="X65" s="16" t="n">
        <x:v>21</x:v>
      </x:c>
      <x:c r="Y65" s="16" t="n">
        <x:v>13</x:v>
      </x:c>
      <x:c r="Z65" s="14" t="str">
        <x:v>静态三级验证：读取入口、枚举包结构、扫描脚本/依赖/网络/凭据/写入；未运行。</x:v>
      </x:c>
    </x:row>
    <x:row r="66" ht="74" customHeight="1">
      <x:c r="A66" s="15" t="n">
        <x:v>62</x:v>
      </x:c>
      <x:c r="B66" s="15" t="str">
        <x:v>DISC-0809-0062</x:v>
      </x:c>
      <x:c r="C66" s="14" t="str">
        <x:v>E AI与数据</x:v>
      </x:c>
      <x:c r="D66" s="14" t="str">
        <x:v>Matplotlib 绘图</x:v>
      </x:c>
      <x:c r="E66" s="14" t="str">
        <x:v>matplotlib</x:v>
      </x:c>
      <x:c r="F66" s="16" t="str">
        <x:v>GitHub</x:v>
      </x:c>
      <x:c r="G66" s="14" t="str">
        <x:v>K-Dense-AI/scientific-agent-skills</x:v>
      </x:c>
      <x:c r="H66" s="14" t="str">
        <x:v>https://github.com/K-Dense-AI/scientific-agent-skills/blob/d767725c6e93b1d02a220e6be75b261a9833ede5/skills/matplotlib/SKILL.md</x:v>
      </x:c>
      <x:c r="I66" s="14" t="str">
        <x:v>使用面向对象接口创建可控的科学图表、布局和多格式输出。</x:v>
      </x:c>
      <x:c r="J66" s="14" t="str">
        <x:v>智能科学与技术、数据科学与大数据技术、计算机科学与技术、空间信息与数字技术</x:v>
      </x:c>
      <x:c r="K66" s="16" t="str">
        <x:v>专业核心</x:v>
      </x:c>
      <x:c r="L66" s="16" t="str">
        <x:v>SB-A</x:v>
      </x:c>
      <x:c r="M66" s="16" t="str">
        <x:v>仅适配后使用</x:v>
      </x:c>
      <x:c r="N66" s="14" t="str">
        <x:v>含 2 个脚本文件；含文件写入示例或实现</x:v>
      </x:c>
      <x:c r="O66" s="14" t="str">
        <x:v>包含外部链接、下载、API 或网络访问说明</x:v>
      </x:c>
      <x:c r="P66" s="14" t="str">
        <x:v>在隔离项目目录内使用，所有状态改变均需人工确认；移除未锁版本安装与远程执行示例，依赖固定版本和哈希；默认断网；确需联网时只开放已核准域名且不得发送校内敏感数据；输出限于显式指定的新目录，禁止覆盖原文件。</x:v>
      </x:c>
      <x:c r="Q66" s="14" t="str">
        <x:v>SKILL.md、说明型 references 与非可执行模板；脚本仅在逐文件复核且固定依赖后单独启用</x:v>
      </x:c>
      <x:c r="R66" s="14" t="str">
        <x:v>移除未锁安装、下载后执行、自动上传/发布/推送/部署、凭据读取和高权限命令；不整包安装</x:v>
      </x:c>
      <x:c r="S66" s="16" t="str">
        <x:v>中</x:v>
      </x:c>
      <x:c r="T66" s="16" t="str">
        <x:v>MIT</x:v>
      </x:c>
      <x:c r="U66" s="16" t="str">
        <x:v>d767725c6e93b1d02a220e6be75b261a9833ede5</x:v>
      </x:c>
      <x:c r="V66" s="16" t="str">
        <x:v>2026-08-03</x:v>
      </x:c>
      <x:c r="W66" s="16" t="str">
        <x:v>2026-08-07</x:v>
      </x:c>
      <x:c r="X66" s="16" t="n">
        <x:v>7</x:v>
      </x:c>
      <x:c r="Y66" s="16" t="n">
        <x:v>2</x:v>
      </x:c>
      <x:c r="Z66" s="14" t="str">
        <x:v>静态三级验证：读取入口、枚举包结构、扫描脚本/依赖/网络/凭据/写入；未运行。</x:v>
      </x:c>
    </x:row>
    <x:row r="67" ht="74" customHeight="1">
      <x:c r="A67" s="15" t="n">
        <x:v>63</x:v>
      </x:c>
      <x:c r="B67" s="15" t="str">
        <x:v>DISC-0809-0063</x:v>
      </x:c>
      <x:c r="C67" s="14" t="str">
        <x:v>E AI与数据</x:v>
      </x:c>
      <x:c r="D67" s="14" t="str">
        <x:v>GPU 计算优化</x:v>
      </x:c>
      <x:c r="E67" s="14" t="str">
        <x:v>optimize-for-gpu</x:v>
      </x:c>
      <x:c r="F67" s="16" t="str">
        <x:v>GitHub</x:v>
      </x:c>
      <x:c r="G67" s="14" t="str">
        <x:v>K-Dense-AI/scientific-agent-skills</x:v>
      </x:c>
      <x:c r="H67" s="14" t="str">
        <x:v>https://github.com/K-Dense-AI/scientific-agent-skills/blob/d767725c6e93b1d02a220e6be75b261a9833ede5/skills/optimize-for-gpu/SKILL.md</x:v>
      </x:c>
      <x:c r="I67" s="14" t="str">
        <x:v>从内存、批量、精度、数据传输和剖析结果优化 GPU 工作负载。</x:v>
      </x:c>
      <x:c r="J67" s="14" t="str">
        <x:v>智能科学与技术、数据科学与大数据技术、计算机科学与技术、空间信息与数字技术</x:v>
      </x:c>
      <x:c r="K67" s="16" t="str">
        <x:v>专业核心</x:v>
      </x:c>
      <x:c r="L67" s="16" t="str">
        <x:v>SB-A</x:v>
      </x:c>
      <x:c r="M67" s="16" t="str">
        <x:v>仅适配后使用</x:v>
      </x:c>
      <x:c r="N67" s="14" t="str">
        <x:v>含文件写入示例或实现</x:v>
      </x:c>
      <x:c r="O67" s="14" t="str">
        <x:v>包含外部链接、下载、API 或网络访问说明；涉及凭据、令牌或秘密管理语境；包含上传、发布、推送、部署或其他外部状态行为</x:v>
      </x:c>
      <x:c r="P67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；输出限于显式指定的新目录，禁止覆盖原文件；禁止自动上传、发布、推送、部署、评论或付费任务。</x:v>
      </x:c>
      <x:c r="Q67" s="14" t="str">
        <x:v>SKILL.md、说明型 references 与非可执行模板；脚本仅在逐文件复核且固定依赖后单独启用</x:v>
      </x:c>
      <x:c r="R67" s="14" t="str">
        <x:v>移除未锁安装、下载后执行、自动上传/发布/推送/部署、凭据读取和高权限命令；不整包安装</x:v>
      </x:c>
      <x:c r="S67" s="16" t="str">
        <x:v>中</x:v>
      </x:c>
      <x:c r="T67" s="16" t="str">
        <x:v>MIT</x:v>
      </x:c>
      <x:c r="U67" s="16" t="str">
        <x:v>d767725c6e93b1d02a220e6be75b261a9833ede5</x:v>
      </x:c>
      <x:c r="V67" s="16" t="str">
        <x:v>2026-08-03</x:v>
      </x:c>
      <x:c r="W67" s="16" t="str">
        <x:v>2026-08-07</x:v>
      </x:c>
      <x:c r="X67" s="16" t="n">
        <x:v>16</x:v>
      </x:c>
      <x:c r="Y67" s="16" t="n">
        <x:v>0</x:v>
      </x:c>
      <x:c r="Z67" s="14" t="str">
        <x:v>静态三级验证：读取入口、枚举包结构、扫描脚本/依赖/网络/凭据/写入；未运行。</x:v>
      </x:c>
    </x:row>
    <x:row r="68" ht="74" customHeight="1">
      <x:c r="A68" s="15" t="n">
        <x:v>64</x:v>
      </x:c>
      <x:c r="B68" s="15" t="str">
        <x:v>DISC-0809-0064</x:v>
      </x:c>
      <x:c r="C68" s="14" t="str">
        <x:v>E AI与数据</x:v>
      </x:c>
      <x:c r="D68" s="14" t="str">
        <x:v>Polars 高性能表格处理</x:v>
      </x:c>
      <x:c r="E68" s="14" t="str">
        <x:v>polars</x:v>
      </x:c>
      <x:c r="F68" s="16" t="str">
        <x:v>GitHub</x:v>
      </x:c>
      <x:c r="G68" s="14" t="str">
        <x:v>K-Dense-AI/scientific-agent-skills</x:v>
      </x:c>
      <x:c r="H68" s="14" t="str">
        <x:v>https://github.com/K-Dense-AI/scientific-agent-skills/blob/d767725c6e93b1d02a220e6be75b261a9833ede5/skills/polars/SKILL.md</x:v>
      </x:c>
      <x:c r="I68" s="14" t="str">
        <x:v>以惰性执行和列式表达式构建高性能数据转换。</x:v>
      </x:c>
      <x:c r="J68" s="14" t="str">
        <x:v>智能科学与技术、数据科学与大数据技术、计算机科学与技术、空间信息与数字技术</x:v>
      </x:c>
      <x:c r="K68" s="16" t="str">
        <x:v>专业核心</x:v>
      </x:c>
      <x:c r="L68" s="16" t="str">
        <x:v>SB-A</x:v>
      </x:c>
      <x:c r="M68" s="16" t="str">
        <x:v>仅适配后使用</x:v>
      </x:c>
      <x:c r="N68" s="14" t="str">
        <x:v>含文件写入示例或实现</x:v>
      </x:c>
      <x:c r="O68" s="14" t="str">
        <x:v>包含外部链接、下载、API 或网络访问说明；涉及凭据、令牌或秘密管理语境</x:v>
      </x:c>
      <x:c r="P68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；输出限于显式指定的新目录，禁止覆盖原文件。</x:v>
      </x:c>
      <x:c r="Q68" s="14" t="str">
        <x:v>SKILL.md、说明型 references 与非可执行模板；脚本仅在逐文件复核且固定依赖后单独启用</x:v>
      </x:c>
      <x:c r="R68" s="14" t="str">
        <x:v>移除未锁安装、下载后执行、自动上传/发布/推送/部署、凭据读取和高权限命令；不整包安装</x:v>
      </x:c>
      <x:c r="S68" s="16" t="str">
        <x:v>中</x:v>
      </x:c>
      <x:c r="T68" s="16" t="str">
        <x:v>MIT</x:v>
      </x:c>
      <x:c r="U68" s="16" t="str">
        <x:v>d767725c6e93b1d02a220e6be75b261a9833ede5</x:v>
      </x:c>
      <x:c r="V68" s="16" t="str">
        <x:v>2026-08-03</x:v>
      </x:c>
      <x:c r="W68" s="16" t="str">
        <x:v>2026-08-07</x:v>
      </x:c>
      <x:c r="X68" s="16" t="n">
        <x:v>7</x:v>
      </x:c>
      <x:c r="Y68" s="16" t="n">
        <x:v>0</x:v>
      </x:c>
      <x:c r="Z68" s="14" t="str">
        <x:v>静态三级验证：读取入口、枚举包结构、扫描脚本/依赖/网络/凭据/写入；未运行。</x:v>
      </x:c>
    </x:row>
    <x:row r="69" ht="74" customHeight="1">
      <x:c r="A69" s="15" t="n">
        <x:v>65</x:v>
      </x:c>
      <x:c r="B69" s="15" t="str">
        <x:v>DISC-0809-0065</x:v>
      </x:c>
      <x:c r="C69" s="14" t="str">
        <x:v>E AI与数据</x:v>
      </x:c>
      <x:c r="D69" s="14" t="str">
        <x:v>PyTorch Lightning 训练工程</x:v>
      </x:c>
      <x:c r="E69" s="14" t="str">
        <x:v>pytorch-lightning</x:v>
      </x:c>
      <x:c r="F69" s="16" t="str">
        <x:v>GitHub</x:v>
      </x:c>
      <x:c r="G69" s="14" t="str">
        <x:v>K-Dense-AI/scientific-agent-skills</x:v>
      </x:c>
      <x:c r="H69" s="14" t="str">
        <x:v>https://github.com/K-Dense-AI/scientific-agent-skills/blob/d767725c6e93b1d02a220e6be75b261a9833ede5/skills/pytorch-lightning/SKILL.md</x:v>
      </x:c>
      <x:c r="I69" s="14" t="str">
        <x:v>组织训练循环、日志、检查点、分布式训练和实验复现。</x:v>
      </x:c>
      <x:c r="J69" s="14" t="str">
        <x:v>智能科学与技术、数据科学与大数据技术、计算机科学与技术、空间信息与数字技术</x:v>
      </x:c>
      <x:c r="K69" s="16" t="str">
        <x:v>专业核心</x:v>
      </x:c>
      <x:c r="L69" s="16" t="str">
        <x:v>SB-A</x:v>
      </x:c>
      <x:c r="M69" s="16" t="str">
        <x:v>仅适配后使用</x:v>
      </x:c>
      <x:c r="N69" s="14" t="str">
        <x:v>含 3 个脚本文件；含文件写入示例或实现</x:v>
      </x:c>
      <x:c r="O69" s="14" t="str">
        <x:v>包含外部链接、下载、API 或网络访问说明；涉及凭据、令牌或秘密管理语境</x:v>
      </x:c>
      <x:c r="P69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；输出限于显式指定的新目录，禁止覆盖原文件。</x:v>
      </x:c>
      <x:c r="Q69" s="14" t="str">
        <x:v>SKILL.md、说明型 references 与非可执行模板；脚本仅在逐文件复核且固定依赖后单独启用</x:v>
      </x:c>
      <x:c r="R69" s="14" t="str">
        <x:v>移除未锁安装、下载后执行、自动上传/发布/推送/部署、凭据读取和高权限命令；不整包安装</x:v>
      </x:c>
      <x:c r="S69" s="16" t="str">
        <x:v>中</x:v>
      </x:c>
      <x:c r="T69" s="16" t="str">
        <x:v>MIT</x:v>
      </x:c>
      <x:c r="U69" s="16" t="str">
        <x:v>d767725c6e93b1d02a220e6be75b261a9833ede5</x:v>
      </x:c>
      <x:c r="V69" s="16" t="str">
        <x:v>2026-08-03</x:v>
      </x:c>
      <x:c r="W69" s="16" t="str">
        <x:v>2026-08-07</x:v>
      </x:c>
      <x:c r="X69" s="16" t="n">
        <x:v>11</x:v>
      </x:c>
      <x:c r="Y69" s="16" t="n">
        <x:v>3</x:v>
      </x:c>
      <x:c r="Z69" s="14" t="str">
        <x:v>静态三级验证：读取入口、枚举包结构、扫描脚本/依赖/网络/凭据/写入；未运行。</x:v>
      </x:c>
    </x:row>
    <x:row r="70" ht="74" customHeight="1">
      <x:c r="A70" s="15" t="n">
        <x:v>66</x:v>
      </x:c>
      <x:c r="B70" s="15" t="str">
        <x:v>DISC-0809-0066</x:v>
      </x:c>
      <x:c r="C70" s="14" t="str">
        <x:v>E AI与数据</x:v>
      </x:c>
      <x:c r="D70" s="14" t="str">
        <x:v>科学可视化</x:v>
      </x:c>
      <x:c r="E70" s="14" t="str">
        <x:v>scientific-visualization</x:v>
      </x:c>
      <x:c r="F70" s="16" t="str">
        <x:v>GitHub</x:v>
      </x:c>
      <x:c r="G70" s="14" t="str">
        <x:v>K-Dense-AI/scientific-agent-skills</x:v>
      </x:c>
      <x:c r="H70" s="14" t="str">
        <x:v>https://github.com/K-Dense-AI/scientific-agent-skills/blob/d767725c6e93b1d02a220e6be75b261a9833ede5/skills/scientific-visualization/SKILL.md</x:v>
      </x:c>
      <x:c r="I70" s="14" t="str">
        <x:v>围绕结论、证据、配色、标注和导出质量制作科研图表。</x:v>
      </x:c>
      <x:c r="J70" s="14" t="str">
        <x:v>智能科学与技术、数据科学与大数据技术、计算机科学与技术、空间信息与数字技术</x:v>
      </x:c>
      <x:c r="K70" s="16" t="str">
        <x:v>专业核心</x:v>
      </x:c>
      <x:c r="L70" s="16" t="str">
        <x:v>SB-A</x:v>
      </x:c>
      <x:c r="M70" s="16" t="str">
        <x:v>仅适配后使用</x:v>
      </x:c>
      <x:c r="N70" s="14" t="str">
        <x:v>含 8 个脚本文件；含文件写入示例或实现；含删除相关示例；含 3 个非文本资源（已按类型登记，未执行）</x:v>
      </x:c>
      <x:c r="O70" s="14" t="str">
        <x:v>包含外部链接、下载、API 或网络访问说明；涉及凭据、令牌或秘密管理语境；包含上传、发布、推送、部署或其他外部状态行为</x:v>
      </x:c>
      <x:c r="P70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；输出限于显式指定的新目录，禁止覆盖原文件；删除命令从适配版剥离；禁止自动上传、发布、推送、部署、评论或付费任务。</x:v>
      </x:c>
      <x:c r="Q70" s="14" t="str">
        <x:v>SKILL.md、说明型 references 与非可执行模板；脚本仅在逐文件复核且固定依赖后单独启用</x:v>
      </x:c>
      <x:c r="R70" s="14" t="str">
        <x:v>移除未锁安装、下载后执行、自动上传/发布/推送/部署、凭据读取和高权限命令；不整包安装</x:v>
      </x:c>
      <x:c r="S70" s="16" t="str">
        <x:v>中</x:v>
      </x:c>
      <x:c r="T70" s="16" t="str">
        <x:v>MIT</x:v>
      </x:c>
      <x:c r="U70" s="16" t="str">
        <x:v>d767725c6e93b1d02a220e6be75b261a9833ede5</x:v>
      </x:c>
      <x:c r="V70" s="16" t="str">
        <x:v>2026-08-03</x:v>
      </x:c>
      <x:c r="W70" s="16" t="str">
        <x:v>2026-08-07</x:v>
      </x:c>
      <x:c r="X70" s="16" t="n">
        <x:v>18</x:v>
      </x:c>
      <x:c r="Y70" s="16" t="n">
        <x:v>8</x:v>
      </x:c>
      <x:c r="Z70" s="14" t="str">
        <x:v>静态三级验证：读取入口、枚举包结构、扫描脚本/依赖/网络/凭据/写入；未运行。</x:v>
      </x:c>
    </x:row>
    <x:row r="71" ht="74" customHeight="1">
      <x:c r="A71" s="15" t="n">
        <x:v>67</x:v>
      </x:c>
      <x:c r="B71" s="15" t="str">
        <x:v>DISC-0809-0067</x:v>
      </x:c>
      <x:c r="C71" s="14" t="str">
        <x:v>E AI与数据</x:v>
      </x:c>
      <x:c r="D71" s="14" t="str">
        <x:v>Scikit-learn 机器学习</x:v>
      </x:c>
      <x:c r="E71" s="14" t="str">
        <x:v>scikit-learn</x:v>
      </x:c>
      <x:c r="F71" s="16" t="str">
        <x:v>GitHub</x:v>
      </x:c>
      <x:c r="G71" s="14" t="str">
        <x:v>K-Dense-AI/scientific-agent-skills</x:v>
      </x:c>
      <x:c r="H71" s="14" t="str">
        <x:v>https://github.com/K-Dense-AI/scientific-agent-skills/blob/d767725c6e93b1d02a220e6be75b261a9833ede5/skills/scikit-learn/SKILL.md</x:v>
      </x:c>
      <x:c r="I71" s="14" t="str">
        <x:v>构建预处理、训练、验证、调参和解释的传统机器学习管线。</x:v>
      </x:c>
      <x:c r="J71" s="14" t="str">
        <x:v>智能科学与技术、数据科学与大数据技术、计算机科学与技术、空间信息与数字技术</x:v>
      </x:c>
      <x:c r="K71" s="16" t="str">
        <x:v>专业核心</x:v>
      </x:c>
      <x:c r="L71" s="16" t="str">
        <x:v>SB-A</x:v>
      </x:c>
      <x:c r="M71" s="16" t="str">
        <x:v>仅适配后使用</x:v>
      </x:c>
      <x:c r="N71" s="14" t="str">
        <x:v>含 2 个脚本文件；含文件写入示例或实现；含删除相关示例</x:v>
      </x:c>
      <x:c r="O71" s="14" t="str">
        <x:v>包含外部链接、下载、API 或网络访问说明</x:v>
      </x:c>
      <x:c r="P71" s="14" t="str">
        <x:v>在隔离项目目录内使用，所有状态改变均需人工确认；移除未锁版本安装与远程执行示例，依赖固定版本和哈希；默认断网；确需联网时只开放已核准域名且不得发送校内敏感数据；输出限于显式指定的新目录，禁止覆盖原文件；删除命令从适配版剥离。</x:v>
      </x:c>
      <x:c r="Q71" s="14" t="str">
        <x:v>SKILL.md、说明型 references 与非可执行模板；脚本仅在逐文件复核且固定依赖后单独启用</x:v>
      </x:c>
      <x:c r="R71" s="14" t="str">
        <x:v>移除未锁安装、下载后执行、自动上传/发布/推送/部署、凭据读取和高权限命令；不整包安装</x:v>
      </x:c>
      <x:c r="S71" s="16" t="str">
        <x:v>高</x:v>
      </x:c>
      <x:c r="T71" s="16" t="str">
        <x:v>MIT</x:v>
      </x:c>
      <x:c r="U71" s="16" t="str">
        <x:v>d767725c6e93b1d02a220e6be75b261a9833ede5</x:v>
      </x:c>
      <x:c r="V71" s="16" t="str">
        <x:v>2026-08-03</x:v>
      </x:c>
      <x:c r="W71" s="16" t="str">
        <x:v>2026-08-07</x:v>
      </x:c>
      <x:c r="X71" s="16" t="n">
        <x:v>11</x:v>
      </x:c>
      <x:c r="Y71" s="16" t="n">
        <x:v>2</x:v>
      </x:c>
      <x:c r="Z71" s="14" t="str">
        <x:v>静态三级验证：读取入口、枚举包结构、扫描脚本/依赖/网络/凭据/写入；未运行。</x:v>
      </x:c>
    </x:row>
    <x:row r="72" ht="74" customHeight="1">
      <x:c r="A72" s="15" t="n">
        <x:v>68</x:v>
      </x:c>
      <x:c r="B72" s="15" t="str">
        <x:v>DISC-0809-0068</x:v>
      </x:c>
      <x:c r="C72" s="14" t="str">
        <x:v>E AI与数据</x:v>
      </x:c>
      <x:c r="D72" s="14" t="str">
        <x:v>SHAP 模型解释</x:v>
      </x:c>
      <x:c r="E72" s="14" t="str">
        <x:v>shap</x:v>
      </x:c>
      <x:c r="F72" s="16" t="str">
        <x:v>GitHub</x:v>
      </x:c>
      <x:c r="G72" s="14" t="str">
        <x:v>K-Dense-AI/scientific-agent-skills</x:v>
      </x:c>
      <x:c r="H72" s="14" t="str">
        <x:v>https://github.com/K-Dense-AI/scientific-agent-skills/blob/d767725c6e93b1d02a220e6be75b261a9833ede5/skills/shap/SKILL.md</x:v>
      </x:c>
      <x:c r="I72" s="14" t="str">
        <x:v>用 SHAP 值解释全局和个体预测并审查解释边界。</x:v>
      </x:c>
      <x:c r="J72" s="14" t="str">
        <x:v>智能科学与技术、数据科学与大数据技术、计算机科学与技术、空间信息与数字技术</x:v>
      </x:c>
      <x:c r="K72" s="16" t="str">
        <x:v>专业核心</x:v>
      </x:c>
      <x:c r="L72" s="16" t="str">
        <x:v>SB-A</x:v>
      </x:c>
      <x:c r="M72" s="16" t="str">
        <x:v>仅适配后使用</x:v>
      </x:c>
      <x:c r="N72" s="14" t="str">
        <x:v>含 1 个脚本文件；含文件写入示例或实现</x:v>
      </x:c>
      <x:c r="O72" s="14" t="str">
        <x:v>包含外部链接、下载、API 或网络访问说明；涉及凭据、令牌或秘密管理语境；包含上传、发布、推送、部署或其他外部状态行为</x:v>
      </x:c>
      <x:c r="P72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；输出限于显式指定的新目录，禁止覆盖原文件；禁止自动上传、发布、推送、部署、评论或付费任务。</x:v>
      </x:c>
      <x:c r="Q72" s="14" t="str">
        <x:v>SKILL.md、说明型 references 与非可执行模板；脚本仅在逐文件复核且固定依赖后单独启用</x:v>
      </x:c>
      <x:c r="R72" s="14" t="str">
        <x:v>移除未锁安装、下载后执行、自动上传/发布/推送/部署、凭据读取和高权限命令；不整包安装</x:v>
      </x:c>
      <x:c r="S72" s="16" t="str">
        <x:v>中</x:v>
      </x:c>
      <x:c r="T72" s="16" t="str">
        <x:v>MIT</x:v>
      </x:c>
      <x:c r="U72" s="16" t="str">
        <x:v>d767725c6e93b1d02a220e6be75b261a9833ede5</x:v>
      </x:c>
      <x:c r="V72" s="16" t="str">
        <x:v>2026-08-03</x:v>
      </x:c>
      <x:c r="W72" s="16" t="str">
        <x:v>2026-08-07</x:v>
      </x:c>
      <x:c r="X72" s="16" t="n">
        <x:v>10</x:v>
      </x:c>
      <x:c r="Y72" s="16" t="n">
        <x:v>1</x:v>
      </x:c>
      <x:c r="Z72" s="14" t="str">
        <x:v>静态三级验证：读取入口、枚举包结构、扫描脚本/依赖/网络/凭据/写入；未运行。</x:v>
      </x:c>
    </x:row>
    <x:row r="73" ht="74" customHeight="1">
      <x:c r="A73" s="15" t="n">
        <x:v>69</x:v>
      </x:c>
      <x:c r="B73" s="15" t="str">
        <x:v>DISC-0809-0069</x:v>
      </x:c>
      <x:c r="C73" s="14" t="str">
        <x:v>E AI与数据</x:v>
      </x:c>
      <x:c r="D73" s="14" t="str">
        <x:v>Statsmodels 统计建模</x:v>
      </x:c>
      <x:c r="E73" s="14" t="str">
        <x:v>statsmodels</x:v>
      </x:c>
      <x:c r="F73" s="16" t="str">
        <x:v>GitHub</x:v>
      </x:c>
      <x:c r="G73" s="14" t="str">
        <x:v>K-Dense-AI/scientific-agent-skills</x:v>
      </x:c>
      <x:c r="H73" s="14" t="str">
        <x:v>https://github.com/K-Dense-AI/scientific-agent-skills/blob/d767725c6e93b1d02a220e6be75b261a9833ede5/skills/statsmodels/SKILL.md</x:v>
      </x:c>
      <x:c r="I73" s="14" t="str">
        <x:v>完成回归、广义线性、时间序列和诊断推断。</x:v>
      </x:c>
      <x:c r="J73" s="14" t="str">
        <x:v>智能科学与技术、数据科学与大数据技术、计算机科学与技术、空间信息与数字技术</x:v>
      </x:c>
      <x:c r="K73" s="16" t="str">
        <x:v>专业核心</x:v>
      </x:c>
      <x:c r="L73" s="16" t="str">
        <x:v>SB-A</x:v>
      </x:c>
      <x:c r="M73" s="16" t="str">
        <x:v>仅适配后使用</x:v>
      </x:c>
      <x:c r="N73" s="14" t="str">
        <x:v>含文件写入示例或实现</x:v>
      </x:c>
      <x:c r="O73" s="14" t="str">
        <x:v>包含外部链接、下载、API 或网络访问说明</x:v>
      </x:c>
      <x:c r="P73" s="14" t="str">
        <x:v>在隔离项目目录内使用，所有状态改变均需人工确认；移除未锁版本安装与远程执行示例，依赖固定版本和哈希；默认断网；确需联网时只开放已核准域名且不得发送校内敏感数据；输出限于显式指定的新目录，禁止覆盖原文件。</x:v>
      </x:c>
      <x:c r="Q73" s="14" t="str">
        <x:v>SKILL.md、说明型 references 与非可执行模板；脚本仅在逐文件复核且固定依赖后单独启用</x:v>
      </x:c>
      <x:c r="R73" s="14" t="str">
        <x:v>移除未锁安装、下载后执行、自动上传/发布/推送/部署、凭据读取和高权限命令；不整包安装</x:v>
      </x:c>
      <x:c r="S73" s="16" t="str">
        <x:v>中</x:v>
      </x:c>
      <x:c r="T73" s="16" t="str">
        <x:v>MIT</x:v>
      </x:c>
      <x:c r="U73" s="16" t="str">
        <x:v>d767725c6e93b1d02a220e6be75b261a9833ede5</x:v>
      </x:c>
      <x:c r="V73" s="16" t="str">
        <x:v>2026-08-03</x:v>
      </x:c>
      <x:c r="W73" s="16" t="str">
        <x:v>2026-08-07</x:v>
      </x:c>
      <x:c r="X73" s="16" t="n">
        <x:v>9</x:v>
      </x:c>
      <x:c r="Y73" s="16" t="n">
        <x:v>0</x:v>
      </x:c>
      <x:c r="Z73" s="14" t="str">
        <x:v>静态三级验证：读取入口、枚举包结构、扫描脚本/依赖/网络/凭据/写入；未运行。</x:v>
      </x:c>
    </x:row>
    <x:row r="74" ht="74" customHeight="1">
      <x:c r="A74" s="15" t="n">
        <x:v>70</x:v>
      </x:c>
      <x:c r="B74" s="15" t="str">
        <x:v>DISC-0809-0070</x:v>
      </x:c>
      <x:c r="C74" s="14" t="str">
        <x:v>E AI与数据</x:v>
      </x:c>
      <x:c r="D74" s="14" t="str">
        <x:v>Transformers 模型应用</x:v>
      </x:c>
      <x:c r="E74" s="14" t="str">
        <x:v>transformers</x:v>
      </x:c>
      <x:c r="F74" s="16" t="str">
        <x:v>GitHub</x:v>
      </x:c>
      <x:c r="G74" s="14" t="str">
        <x:v>K-Dense-AI/scientific-agent-skills</x:v>
      </x:c>
      <x:c r="H74" s="14" t="str">
        <x:v>https://github.com/K-Dense-AI/scientific-agent-skills/blob/d767725c6e93b1d02a220e6be75b261a9833ede5/skills/transformers/SKILL.md</x:v>
      </x:c>
      <x:c r="I74" s="14" t="str">
        <x:v>使用预训练 Transformer 完成 NLP、多模态推理与微调工作流。</x:v>
      </x:c>
      <x:c r="J74" s="14" t="str">
        <x:v>智能科学与技术、数据科学与大数据技术、计算机科学与技术、空间信息与数字技术</x:v>
      </x:c>
      <x:c r="K74" s="16" t="str">
        <x:v>专业核心</x:v>
      </x:c>
      <x:c r="L74" s="16" t="str">
        <x:v>SB-A</x:v>
      </x:c>
      <x:c r="M74" s="16" t="str">
        <x:v>仅适配后使用</x:v>
      </x:c>
      <x:c r="N74" s="14" t="str">
        <x:v>未见随包可执行载荷；主要为说明、模板或参考资料</x:v>
      </x:c>
      <x:c r="O74" s="14" t="str">
        <x:v>包含外部链接、下载、API 或网络访问说明；涉及凭据、令牌或秘密管理语境</x:v>
      </x:c>
      <x:c r="P74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。</x:v>
      </x:c>
      <x:c r="Q74" s="14" t="str">
        <x:v>SKILL.md、说明型 references 与非可执行模板；脚本仅在逐文件复核且固定依赖后单独启用</x:v>
      </x:c>
      <x:c r="R74" s="14" t="str">
        <x:v>移除未锁安装、下载后执行、自动上传/发布/推送/部署、凭据读取和高权限命令；不整包安装</x:v>
      </x:c>
      <x:c r="S74" s="16" t="str">
        <x:v>中</x:v>
      </x:c>
      <x:c r="T74" s="16" t="str">
        <x:v>MIT</x:v>
      </x:c>
      <x:c r="U74" s="16" t="str">
        <x:v>d767725c6e93b1d02a220e6be75b261a9833ede5</x:v>
      </x:c>
      <x:c r="V74" s="16" t="str">
        <x:v>2026-08-03</x:v>
      </x:c>
      <x:c r="W74" s="16" t="str">
        <x:v>2026-08-07</x:v>
      </x:c>
      <x:c r="X74" s="16" t="n">
        <x:v>6</x:v>
      </x:c>
      <x:c r="Y74" s="16" t="n">
        <x:v>0</x:v>
      </x:c>
      <x:c r="Z74" s="14" t="str">
        <x:v>静态三级验证：读取入口、枚举包结构、扫描脚本/依赖/网络/凭据/写入；未运行。</x:v>
      </x:c>
    </x:row>
    <x:row r="75" ht="74" customHeight="1">
      <x:c r="A75" s="15" t="n">
        <x:v>71</x:v>
      </x:c>
      <x:c r="B75" s="15" t="str">
        <x:v>DISC-0809-0071</x:v>
      </x:c>
      <x:c r="C75" s="14" t="str">
        <x:v>E AI与数据</x:v>
      </x:c>
      <x:c r="D75" s="14" t="str">
        <x:v>不确定度与单位</x:v>
      </x:c>
      <x:c r="E75" s="14" t="str">
        <x:v>uncertainty-and-units</x:v>
      </x:c>
      <x:c r="F75" s="16" t="str">
        <x:v>GitHub</x:v>
      </x:c>
      <x:c r="G75" s="14" t="str">
        <x:v>K-Dense-AI/scientific-agent-skills</x:v>
      </x:c>
      <x:c r="H75" s="14" t="str">
        <x:v>https://github.com/K-Dense-AI/scientific-agent-skills/blob/d767725c6e93b1d02a220e6be75b261a9833ede5/skills/uncertainty-and-units/SKILL.md</x:v>
      </x:c>
      <x:c r="I75" s="14" t="str">
        <x:v>在计算中传播测量不确定度、单位和有效数字。</x:v>
      </x:c>
      <x:c r="J75" s="14" t="str">
        <x:v>智能科学与技术、数据科学与大数据技术、计算机科学与技术、空间信息与数字技术</x:v>
      </x:c>
      <x:c r="K75" s="16" t="str">
        <x:v>专业核心</x:v>
      </x:c>
      <x:c r="L75" s="16" t="str">
        <x:v>SB-A</x:v>
      </x:c>
      <x:c r="M75" s="16" t="str">
        <x:v>仅适配后使用</x:v>
      </x:c>
      <x:c r="N75" s="14" t="str">
        <x:v>含 7 个脚本文件；含文件写入示例或实现；含删除相关示例</x:v>
      </x:c>
      <x:c r="O75" s="14" t="str">
        <x:v>包含外部链接、下载、API 或网络访问说明</x:v>
      </x:c>
      <x:c r="P75" s="14" t="str">
        <x:v>在隔离项目目录内使用，所有状态改变均需人工确认；移除未锁版本安装与远程执行示例，依赖固定版本和哈希；默认断网；确需联网时只开放已核准域名且不得发送校内敏感数据；输出限于显式指定的新目录，禁止覆盖原文件；删除命令从适配版剥离。</x:v>
      </x:c>
      <x:c r="Q75" s="14" t="str">
        <x:v>SKILL.md、说明型 references 与非可执行模板；脚本仅在逐文件复核且固定依赖后单独启用</x:v>
      </x:c>
      <x:c r="R75" s="14" t="str">
        <x:v>移除未锁安装、下载后执行、自动上传/发布/推送/部署、凭据读取和高权限命令；不整包安装</x:v>
      </x:c>
      <x:c r="S75" s="16" t="str">
        <x:v>中</x:v>
      </x:c>
      <x:c r="T75" s="16" t="str">
        <x:v>MIT</x:v>
      </x:c>
      <x:c r="U75" s="16" t="str">
        <x:v>d767725c6e93b1d02a220e6be75b261a9833ede5</x:v>
      </x:c>
      <x:c r="V75" s="16" t="str">
        <x:v>2026-08-03</x:v>
      </x:c>
      <x:c r="W75" s="16" t="str">
        <x:v>2026-08-07</x:v>
      </x:c>
      <x:c r="X75" s="16" t="n">
        <x:v>14</x:v>
      </x:c>
      <x:c r="Y75" s="16" t="n">
        <x:v>7</x:v>
      </x:c>
      <x:c r="Z75" s="14" t="str">
        <x:v>静态三级验证：读取入口、枚举包结构、扫描脚本/依赖/网络/凭据/写入；未运行。</x:v>
      </x:c>
    </x:row>
    <x:row r="76" ht="74" customHeight="1">
      <x:c r="A76" s="15" t="n">
        <x:v>72</x:v>
      </x:c>
      <x:c r="B76" s="15" t="str">
        <x:v>DISC-0809-0072</x:v>
      </x:c>
      <x:c r="C76" s="14" t="str">
        <x:v>E AI与数据</x:v>
      </x:c>
      <x:c r="D76" s="14" t="str">
        <x:v>Hugging Face 本地模型评测</x:v>
      </x:c>
      <x:c r="E76" s="14" t="str">
        <x:v>huggingface-community-evals</x:v>
      </x:c>
      <x:c r="F76" s="16" t="str">
        <x:v>GitHub（Hugging Face 官方上游）</x:v>
      </x:c>
      <x:c r="G76" s="14" t="str">
        <x:v>huggingface/skills</x:v>
      </x:c>
      <x:c r="H76" s="14" t="str">
        <x:v>https://github.com/huggingface/skills/blob/7cb53d7a4746289db435c14fd7d7096965266b10/skills/huggingface-community-evals/SKILL.md</x:v>
      </x:c>
      <x:c r="I76" s="14" t="str">
        <x:v>选择本地评测后端并运行 inspect-ai 或 LightEval 评测。</x:v>
      </x:c>
      <x:c r="J76" s="14" t="str">
        <x:v>智能科学与技术、数据科学与大数据技术、计算机科学与技术、空间信息与数字技术</x:v>
      </x:c>
      <x:c r="K76" s="16" t="str">
        <x:v>专业核心</x:v>
      </x:c>
      <x:c r="L76" s="16" t="str">
        <x:v>SB-A</x:v>
      </x:c>
      <x:c r="M76" s="16" t="str">
        <x:v>仅适配后使用</x:v>
      </x:c>
      <x:c r="N76" s="14" t="str">
        <x:v>含 3 个脚本文件；可调用子进程；含文件写入示例或实现；含 1 个非文本资源（已按类型登记，未执行）</x:v>
      </x:c>
      <x:c r="O76" s="14" t="str">
        <x:v>涉及凭据、令牌或秘密管理语境；包含上传、发布、推送、部署或其他外部状态行为</x:v>
      </x:c>
      <x:c r="P76" s="14" t="str">
        <x:v>在隔离项目目录内使用，所有状态改变均需人工确认；移除未锁版本安装与远程执行示例，依赖固定版本和哈希；不得读取或回显现有凭据，令牌由用户侧最小权限注入；输出限于显式指定的新目录，禁止覆盖原文件；禁止自动上传、发布、推送、部署、评论或付费任务。</x:v>
      </x:c>
      <x:c r="Q76" s="14" t="str">
        <x:v>SKILL.md、说明型 references 与非可执行模板；脚本仅在逐文件复核且固定依赖后单独启用</x:v>
      </x:c>
      <x:c r="R76" s="14" t="str">
        <x:v>移除未锁安装、下载后执行、自动上传/发布/推送/部署、凭据读取和高权限命令；不整包安装</x:v>
      </x:c>
      <x:c r="S76" s="16" t="str">
        <x:v>中</x:v>
      </x:c>
      <x:c r="T76" s="16" t="str">
        <x:v>Apache-2.0</x:v>
      </x:c>
      <x:c r="U76" s="16" t="str">
        <x:v>7cb53d7a4746289db435c14fd7d7096965266b10</x:v>
      </x:c>
      <x:c r="V76" s="16" t="str">
        <x:v>2026-08-06</x:v>
      </x:c>
      <x:c r="W76" s="16" t="str">
        <x:v>2026-08-07</x:v>
      </x:c>
      <x:c r="X76" s="16" t="n">
        <x:v>6</x:v>
      </x:c>
      <x:c r="Y76" s="16" t="n">
        <x:v>3</x:v>
      </x:c>
      <x:c r="Z76" s="14" t="str">
        <x:v>静态三级验证：读取入口、枚举包结构、扫描脚本/依赖/网络/凭据/写入；未运行。</x:v>
      </x:c>
    </x:row>
    <x:row r="77" ht="74" customHeight="1">
      <x:c r="A77" s="15" t="n">
        <x:v>73</x:v>
      </x:c>
      <x:c r="B77" s="15" t="str">
        <x:v>DISC-0809-0073</x:v>
      </x:c>
      <x:c r="C77" s="14" t="str">
        <x:v>E AI与数据</x:v>
      </x:c>
      <x:c r="D77" s="14" t="str">
        <x:v>Hugging Face 本地模型运行</x:v>
      </x:c>
      <x:c r="E77" s="14" t="str">
        <x:v>huggingface-local-models</x:v>
      </x:c>
      <x:c r="F77" s="16" t="str">
        <x:v>GitHub（Hugging Face 官方上游）</x:v>
      </x:c>
      <x:c r="G77" s="14" t="str">
        <x:v>huggingface/skills</x:v>
      </x:c>
      <x:c r="H77" s="14" t="str">
        <x:v>https://github.com/huggingface/skills/blob/7cb53d7a4746289db435c14fd7d7096965266b10/skills/huggingface-local-models/SKILL.md</x:v>
      </x:c>
      <x:c r="I77" s="14" t="str">
        <x:v>选择 GGUF 与量化规格并用 llama.cpp 在本地运行模型。</x:v>
      </x:c>
      <x:c r="J77" s="14" t="str">
        <x:v>智能科学与技术、数据科学与大数据技术、计算机科学与技术、空间信息与数字技术</x:v>
      </x:c>
      <x:c r="K77" s="16" t="str">
        <x:v>专业核心</x:v>
      </x:c>
      <x:c r="L77" s="16" t="str">
        <x:v>SB-A</x:v>
      </x:c>
      <x:c r="M77" s="16" t="str">
        <x:v>仅适配后使用</x:v>
      </x:c>
      <x:c r="N77" s="14" t="str">
        <x:v>未见随包可执行载荷；主要为说明、模板或参考资料</x:v>
      </x:c>
      <x:c r="O77" s="14" t="str">
        <x:v>包含外部链接、下载、API 或网络访问说明</x:v>
      </x:c>
      <x:c r="P77" s="14" t="str">
        <x:v>在隔离项目目录内使用，所有状态改变均需人工确认；移除未锁版本安装与远程执行示例，依赖固定版本和哈希；默认断网；确需联网时只开放已核准域名且不得发送校内敏感数据。</x:v>
      </x:c>
      <x:c r="Q77" s="14" t="str">
        <x:v>SKILL.md、说明型 references 与非可执行模板；脚本仅在逐文件复核且固定依赖后单独启用</x:v>
      </x:c>
      <x:c r="R77" s="14" t="str">
        <x:v>移除未锁安装、下载后执行、自动上传/发布/推送/部署、凭据读取和高权限命令；不整包安装</x:v>
      </x:c>
      <x:c r="S77" s="16" t="str">
        <x:v>中</x:v>
      </x:c>
      <x:c r="T77" s="16" t="str">
        <x:v>Apache-2.0</x:v>
      </x:c>
      <x:c r="U77" s="16" t="str">
        <x:v>7cb53d7a4746289db435c14fd7d7096965266b10</x:v>
      </x:c>
      <x:c r="V77" s="16" t="str">
        <x:v>2026-08-06</x:v>
      </x:c>
      <x:c r="W77" s="16" t="str">
        <x:v>2026-08-07</x:v>
      </x:c>
      <x:c r="X77" s="16" t="n">
        <x:v>4</x:v>
      </x:c>
      <x:c r="Y77" s="16" t="n">
        <x:v>0</x:v>
      </x:c>
      <x:c r="Z77" s="14" t="str">
        <x:v>静态三级验证：读取入口、枚举包结构、扫描脚本/依赖/网络/凭据/写入；未运行。</x:v>
      </x:c>
    </x:row>
    <x:row r="78" ht="74" customHeight="1">
      <x:c r="A78" s="15" t="n">
        <x:v>74</x:v>
      </x:c>
      <x:c r="B78" s="15" t="str">
        <x:v>DISC-0809-0074</x:v>
      </x:c>
      <x:c r="C78" s="14" t="str">
        <x:v>F 空间信息</x:v>
      </x:c>
      <x:c r="D78" s="14" t="str">
        <x:v>GeoMaster 地理空间计算</x:v>
      </x:c>
      <x:c r="E78" s="14" t="str">
        <x:v>geomaster</x:v>
      </x:c>
      <x:c r="F78" s="16" t="str">
        <x:v>GitHub</x:v>
      </x:c>
      <x:c r="G78" s="14" t="str">
        <x:v>K-Dense-AI/scientific-agent-skills</x:v>
      </x:c>
      <x:c r="H78" s="14" t="str">
        <x:v>https://github.com/K-Dense-AI/scientific-agent-skills/blob/d767725c6e93b1d02a220e6be75b261a9833ede5/skills/geomaster/SKILL.md</x:v>
      </x:c>
      <x:c r="I78" s="14" t="str">
        <x:v>覆盖 GIS、遥感、栅格矢量、空间统计和地球观测机器学习。</x:v>
      </x:c>
      <x:c r="J78" s="14" t="str">
        <x:v>空间信息与数字技术、数据科学与大数据技术、智能科学与技术</x:v>
      </x:c>
      <x:c r="K78" s="16" t="str">
        <x:v>专业核心</x:v>
      </x:c>
      <x:c r="L78" s="16" t="str">
        <x:v>SB-A</x:v>
      </x:c>
      <x:c r="M78" s="16" t="str">
        <x:v>仅适配后使用</x:v>
      </x:c>
      <x:c r="N78" s="14" t="str">
        <x:v>可调用子进程；含文件写入示例或实现；含系统级/高权限命令示例</x:v>
      </x:c>
      <x:c r="O78" s="14" t="str">
        <x:v>包含外部链接、下载、API 或网络访问说明；涉及凭据、令牌或秘密管理语境；包含上传、发布、推送、部署或其他外部状态行为</x:v>
      </x:c>
      <x:c r="P78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；输出限于显式指定的新目录，禁止覆盖原文件；禁止 sudo、系统服务和系统级配置变更；禁止自动上传、发布、推送、部署、评论或付费任务。</x:v>
      </x:c>
      <x:c r="Q78" s="14" t="str">
        <x:v>SKILL.md、说明型 references 与非可执行模板；脚本仅在逐文件复核且固定依赖后单独启用</x:v>
      </x:c>
      <x:c r="R78" s="14" t="str">
        <x:v>移除未锁安装、下载后执行、自动上传/发布/推送/部署、凭据读取和高权限命令；不整包安装</x:v>
      </x:c>
      <x:c r="S78" s="16" t="str">
        <x:v>高</x:v>
      </x:c>
      <x:c r="T78" s="16" t="str">
        <x:v>MIT</x:v>
      </x:c>
      <x:c r="U78" s="16" t="str">
        <x:v>d767725c6e93b1d02a220e6be75b261a9833ede5</x:v>
      </x:c>
      <x:c r="V78" s="16" t="str">
        <x:v>2026-08-03</x:v>
      </x:c>
      <x:c r="W78" s="16" t="str">
        <x:v>2026-08-07</x:v>
      </x:c>
      <x:c r="X78" s="16" t="n">
        <x:v>16</x:v>
      </x:c>
      <x:c r="Y78" s="16" t="n">
        <x:v>0</x:v>
      </x:c>
      <x:c r="Z78" s="14" t="str">
        <x:v>静态三级验证：读取入口、枚举包结构、扫描脚本/依赖/网络/凭据/写入；未运行。</x:v>
      </x:c>
    </x:row>
    <x:row r="79" ht="74" customHeight="1">
      <x:c r="A79" s="15" t="n">
        <x:v>75</x:v>
      </x:c>
      <x:c r="B79" s="15" t="str">
        <x:v>DISC-0809-0075</x:v>
      </x:c>
      <x:c r="C79" s="14" t="str">
        <x:v>F 空间信息</x:v>
      </x:c>
      <x:c r="D79" s="14" t="str">
        <x:v>GeoPandas 空间数据分析</x:v>
      </x:c>
      <x:c r="E79" s="14" t="str">
        <x:v>geopandas</x:v>
      </x:c>
      <x:c r="F79" s="16" t="str">
        <x:v>GitHub</x:v>
      </x:c>
      <x:c r="G79" s="14" t="str">
        <x:v>K-Dense-AI/scientific-agent-skills</x:v>
      </x:c>
      <x:c r="H79" s="14" t="str">
        <x:v>https://github.com/K-Dense-AI/scientific-agent-skills/blob/d767725c6e93b1d02a220e6be75b261a9833ede5/skills/geopandas/SKILL.md</x:v>
      </x:c>
      <x:c r="I79" s="14" t="str">
        <x:v>处理矢量地理数据、坐标系、空间连接和地图输出。</x:v>
      </x:c>
      <x:c r="J79" s="14" t="str">
        <x:v>空间信息与数字技术、数据科学与大数据技术、智能科学与技术</x:v>
      </x:c>
      <x:c r="K79" s="16" t="str">
        <x:v>专业核心</x:v>
      </x:c>
      <x:c r="L79" s="16" t="str">
        <x:v>SB-A</x:v>
      </x:c>
      <x:c r="M79" s="16" t="str">
        <x:v>仅适配后使用</x:v>
      </x:c>
      <x:c r="N79" s="14" t="str">
        <x:v>含 7 个脚本文件；含文件写入示例或实现；含删除相关示例</x:v>
      </x:c>
      <x:c r="O79" s="14" t="str">
        <x:v>包含外部链接、下载、API 或网络访问说明；涉及凭据、令牌或秘密管理语境</x:v>
      </x:c>
      <x:c r="P79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；输出限于显式指定的新目录，禁止覆盖原文件；删除命令从适配版剥离。</x:v>
      </x:c>
      <x:c r="Q79" s="14" t="str">
        <x:v>SKILL.md、说明型 references 与非可执行模板；脚本仅在逐文件复核且固定依赖后单独启用</x:v>
      </x:c>
      <x:c r="R79" s="14" t="str">
        <x:v>移除未锁安装、下载后执行、自动上传/发布/推送/部署、凭据读取和高权限命令；不整包安装</x:v>
      </x:c>
      <x:c r="S79" s="16" t="str">
        <x:v>高</x:v>
      </x:c>
      <x:c r="T79" s="16" t="str">
        <x:v>MIT</x:v>
      </x:c>
      <x:c r="U79" s="16" t="str">
        <x:v>d767725c6e93b1d02a220e6be75b261a9833ede5</x:v>
      </x:c>
      <x:c r="V79" s="16" t="str">
        <x:v>2026-08-03</x:v>
      </x:c>
      <x:c r="W79" s="16" t="str">
        <x:v>2026-08-07</x:v>
      </x:c>
      <x:c r="X79" s="16" t="n">
        <x:v>14</x:v>
      </x:c>
      <x:c r="Y79" s="16" t="n">
        <x:v>7</x:v>
      </x:c>
      <x:c r="Z79" s="14" t="str">
        <x:v>静态三级验证：读取入口、枚举包结构、扫描脚本/依赖/网络/凭据/写入；未运行。</x:v>
      </x:c>
    </x:row>
    <x:row r="80" ht="74" customHeight="1">
      <x:c r="A80" s="15" t="n">
        <x:v>76</x:v>
      </x:c>
      <x:c r="B80" s="15" t="str">
        <x:v>DISC-0809-0076</x:v>
      </x:c>
      <x:c r="C80" s="14" t="str">
        <x:v>G 数字媒体</x:v>
      </x:c>
      <x:c r="D80" s="14" t="str">
        <x:v>前端 UI 工程</x:v>
      </x:c>
      <x:c r="E80" s="14" t="str">
        <x:v>frontend-ui-engineering</x:v>
      </x:c>
      <x:c r="F80" s="16" t="str">
        <x:v>GitHub</x:v>
      </x:c>
      <x:c r="G80" s="14" t="str">
        <x:v>addyosmani/agent-skills</x:v>
      </x:c>
      <x:c r="H80" s="14" t="str">
        <x:v>https://github.com/addyosmani/agent-skills/blob/d2478bf0c73a6357df39a3ed6aff16acaa218843/skills/frontend-ui-engineering/SKILL.md</x:v>
      </x:c>
      <x:c r="I80" s="14" t="str">
        <x:v>将界面需求转化为可访问、响应式、可维护的前端实现。</x:v>
      </x:c>
      <x:c r="J80" s="14" t="str">
        <x:v>数字媒体技术、新媒体技术、电影制作、计算机科学与技术</x:v>
      </x:c>
      <x:c r="K80" s="16" t="str">
        <x:v>专业核心</x:v>
      </x:c>
      <x:c r="L80" s="16" t="str">
        <x:v>SB</x:v>
      </x:c>
      <x:c r="M80" s="16" t="str">
        <x:v>限制使用</x:v>
      </x:c>
      <x:c r="N80" s="14" t="str">
        <x:v>含删除相关示例</x:v>
      </x:c>
      <x:c r="O80" s="14" t="str">
        <x:v>未见必要的凭据或外部写入行为</x:v>
      </x:c>
      <x:c r="P80" s="14" t="str">
        <x:v>在隔离项目目录内使用，所有状态改变均需人工确认；删除命令从适配版剥离。</x:v>
      </x:c>
      <x:c r="Q80" s="14" t="str">
        <x:v>完整说明与已审资源；执行步骤仍受限制条件约束</x:v>
      </x:c>
      <x:c r="R80" s="14" t="str">
        <x:v>无强制剥离；按限制条件禁用越权步骤</x:v>
      </x:c>
      <x:c r="S80" s="16" t="str">
        <x:v>高</x:v>
      </x:c>
      <x:c r="T80" s="16" t="str">
        <x:v>MIT</x:v>
      </x:c>
      <x:c r="U80" s="16" t="str">
        <x:v>d2478bf0c73a6357df39a3ed6aff16acaa218843</x:v>
      </x:c>
      <x:c r="V80" s="16" t="str">
        <x:v>2026-08-06</x:v>
      </x:c>
      <x:c r="W80" s="16" t="str">
        <x:v>2026-08-07</x:v>
      </x:c>
      <x:c r="X80" s="16" t="n">
        <x:v>1</x:v>
      </x:c>
      <x:c r="Y80" s="16" t="n">
        <x:v>0</x:v>
      </x:c>
      <x:c r="Z80" s="14" t="str">
        <x:v>静态三级验证：读取入口、枚举包结构、扫描脚本/依赖/网络/凭据/写入；未运行。</x:v>
      </x:c>
    </x:row>
    <x:row r="81" ht="74" customHeight="1">
      <x:c r="A81" s="15" t="n">
        <x:v>77</x:v>
      </x:c>
      <x:c r="B81" s="15" t="str">
        <x:v>DISC-0809-0077</x:v>
      </x:c>
      <x:c r="C81" s="14" t="str">
        <x:v>G 数字媒体</x:v>
      </x:c>
      <x:c r="D81" s="14" t="str">
        <x:v>算法艺术</x:v>
      </x:c>
      <x:c r="E81" s="14" t="str">
        <x:v>algorithmic-art</x:v>
      </x:c>
      <x:c r="F81" s="16" t="str">
        <x:v>GitHub</x:v>
      </x:c>
      <x:c r="G81" s="14" t="str">
        <x:v>anthropics/skills</x:v>
      </x:c>
      <x:c r="H81" s="14" t="str">
        <x:v>https://github.com/anthropics/skills/blob/b29e7cf65e5cb78a5ac33d582270551bc74a14eb/skills/algorithmic-art/SKILL.md</x:v>
      </x:c>
      <x:c r="I81" s="14" t="str">
        <x:v>用 p5.js、种子随机和参数化系统创作原创生成艺术。</x:v>
      </x:c>
      <x:c r="J81" s="14" t="str">
        <x:v>数字媒体技术、新媒体技术、电影制作、计算机科学与技术</x:v>
      </x:c>
      <x:c r="K81" s="16" t="str">
        <x:v>专业核心</x:v>
      </x:c>
      <x:c r="L81" s="16" t="str">
        <x:v>SB-A</x:v>
      </x:c>
      <x:c r="M81" s="16" t="str">
        <x:v>仅适配后使用</x:v>
      </x:c>
      <x:c r="N81" s="14" t="str">
        <x:v>含 1 个脚本文件；含文件写入示例或实现</x:v>
      </x:c>
      <x:c r="O81" s="14" t="str">
        <x:v>包含外部链接、下载、API 或网络访问说明</x:v>
      </x:c>
      <x:c r="P81" s="14" t="str">
        <x:v>在隔离项目目录内使用，所有状态改变均需人工确认；移除未锁版本安装与远程执行示例，依赖固定版本和哈希；默认断网；确需联网时只开放已核准域名且不得发送校内敏感数据；输出限于显式指定的新目录，禁止覆盖原文件。</x:v>
      </x:c>
      <x:c r="Q81" s="14" t="str">
        <x:v>SKILL.md、说明型 references 与非可执行模板；脚本仅在逐文件复核且固定依赖后单独启用</x:v>
      </x:c>
      <x:c r="R81" s="14" t="str">
        <x:v>移除未锁安装、下载后执行、自动上传/发布/推送/部署、凭据读取和高权限命令；不整包安装</x:v>
      </x:c>
      <x:c r="S81" s="16" t="str">
        <x:v>中</x:v>
      </x:c>
      <x:c r="T81" s="16" t="str">
        <x:v>各技能目录 Apache-2.0</x:v>
      </x:c>
      <x:c r="U81" s="16" t="str">
        <x:v>b29e7cf65e5cb78a5ac33d582270551bc74a14eb</x:v>
      </x:c>
      <x:c r="V81" s="16" t="str">
        <x:v>2026-07-24</x:v>
      </x:c>
      <x:c r="W81" s="16" t="str">
        <x:v>2026-08-07</x:v>
      </x:c>
      <x:c r="X81" s="16" t="n">
        <x:v>4</x:v>
      </x:c>
      <x:c r="Y81" s="16" t="n">
        <x:v>1</x:v>
      </x:c>
      <x:c r="Z81" s="14" t="str">
        <x:v>静态三级验证：读取入口、枚举包结构、扫描脚本/依赖/网络/凭据/写入；未运行。</x:v>
      </x:c>
    </x:row>
    <x:row r="82" ht="74" customHeight="1">
      <x:c r="A82" s="15" t="n">
        <x:v>78</x:v>
      </x:c>
      <x:c r="B82" s="15" t="str">
        <x:v>DISC-0809-0078</x:v>
      </x:c>
      <x:c r="C82" s="14" t="str">
        <x:v>G 数字媒体</x:v>
      </x:c>
      <x:c r="D82" s="14" t="str">
        <x:v>静态视觉设计</x:v>
      </x:c>
      <x:c r="E82" s="14" t="str">
        <x:v>canvas-design</x:v>
      </x:c>
      <x:c r="F82" s="16" t="str">
        <x:v>GitHub</x:v>
      </x:c>
      <x:c r="G82" s="14" t="str">
        <x:v>anthropics/skills</x:v>
      </x:c>
      <x:c r="H82" s="14" t="str">
        <x:v>https://github.com/anthropics/skills/blob/b29e7cf65e5cb78a5ac33d582270551bc74a14eb/skills/canvas-design/SKILL.md</x:v>
      </x:c>
      <x:c r="I82" s="14" t="str">
        <x:v>以视觉哲学指导海报、艺术作品和静态 PNG/PDF 构图。</x:v>
      </x:c>
      <x:c r="J82" s="14" t="str">
        <x:v>数字媒体技术、新媒体技术、电影制作、计算机科学与技术</x:v>
      </x:c>
      <x:c r="K82" s="16" t="str">
        <x:v>专业核心</x:v>
      </x:c>
      <x:c r="L82" s="16" t="str">
        <x:v>SA</x:v>
      </x:c>
      <x:c r="M82" s="16" t="str">
        <x:v>原包可用</x:v>
      </x:c>
      <x:c r="N82" s="14" t="str">
        <x:v>含 54 个非文本资源（已按类型登记，未执行）</x:v>
      </x:c>
      <x:c r="O82" s="14" t="str">
        <x:v>包含外部链接、下载、API 或网络访问说明</x:v>
      </x:c>
      <x:c r="P82" s="14" t="str">
        <x:v>按只读说明/模板使用；仍需人工复核生成内容，不自动提交、发布或替代课程评价。</x:v>
      </x:c>
      <x:c r="Q82" s="14" t="str">
        <x:v>完整说明与已审资源；执行步骤仍受限制条件约束</x:v>
      </x:c>
      <x:c r="R82" s="14" t="str">
        <x:v>无强制剥离；按限制条件禁用越权步骤</x:v>
      </x:c>
      <x:c r="S82" s="16" t="str">
        <x:v>中</x:v>
      </x:c>
      <x:c r="T82" s="16" t="str">
        <x:v>各技能目录 Apache-2.0</x:v>
      </x:c>
      <x:c r="U82" s="16" t="str">
        <x:v>b29e7cf65e5cb78a5ac33d582270551bc74a14eb</x:v>
      </x:c>
      <x:c r="V82" s="16" t="str">
        <x:v>2026-07-24</x:v>
      </x:c>
      <x:c r="W82" s="16" t="str">
        <x:v>2026-08-07</x:v>
      </x:c>
      <x:c r="X82" s="16" t="n">
        <x:v>83</x:v>
      </x:c>
      <x:c r="Y82" s="16" t="n">
        <x:v>0</x:v>
      </x:c>
      <x:c r="Z82" s="14" t="str">
        <x:v>静态三级验证：读取入口、枚举包结构、扫描脚本/依赖/网络/凭据/写入；未运行。</x:v>
      </x:c>
    </x:row>
    <x:row r="83" ht="74" customHeight="1">
      <x:c r="A83" s="15" t="n">
        <x:v>79</x:v>
      </x:c>
      <x:c r="B83" s="15" t="str">
        <x:v>DISC-0809-0079</x:v>
      </x:c>
      <x:c r="C83" s="14" t="str">
        <x:v>G 数字媒体</x:v>
      </x:c>
      <x:c r="D83" s="14" t="str">
        <x:v>前端视觉设计</x:v>
      </x:c>
      <x:c r="E83" s="14" t="str">
        <x:v>frontend-design</x:v>
      </x:c>
      <x:c r="F83" s="16" t="str">
        <x:v>GitHub</x:v>
      </x:c>
      <x:c r="G83" s="14" t="str">
        <x:v>anthropics/skills</x:v>
      </x:c>
      <x:c r="H83" s="14" t="str">
        <x:v>https://github.com/anthropics/skills/blob/b29e7cf65e5cb78a5ac33d582270551bc74a14eb/skills/frontend-design/SKILL.md</x:v>
      </x:c>
      <x:c r="I83" s="14" t="str">
        <x:v>为网页选择有主题依据的版式、字体、色彩、动效和视觉识别。</x:v>
      </x:c>
      <x:c r="J83" s="14" t="str">
        <x:v>数字媒体技术、新媒体技术、电影制作、计算机科学与技术</x:v>
      </x:c>
      <x:c r="K83" s="16" t="str">
        <x:v>专业核心</x:v>
      </x:c>
      <x:c r="L83" s="16" t="str">
        <x:v>SA</x:v>
      </x:c>
      <x:c r="M83" s="16" t="str">
        <x:v>原包可用</x:v>
      </x:c>
      <x:c r="N83" s="14" t="str">
        <x:v>未见随包可执行载荷；主要为说明、模板或参考资料</x:v>
      </x:c>
      <x:c r="O83" s="14" t="str">
        <x:v>包含外部链接、下载、API 或网络访问说明；包含上传、发布、推送、部署或其他外部状态行为</x:v>
      </x:c>
      <x:c r="P83" s="14" t="str">
        <x:v>按只读说明/模板使用；仍需人工复核生成内容，不自动提交、发布或替代课程评价。</x:v>
      </x:c>
      <x:c r="Q83" s="14" t="str">
        <x:v>完整说明与已审资源；执行步骤仍受限制条件约束</x:v>
      </x:c>
      <x:c r="R83" s="14" t="str">
        <x:v>无强制剥离；按限制条件禁用越权步骤</x:v>
      </x:c>
      <x:c r="S83" s="16" t="str">
        <x:v>中</x:v>
      </x:c>
      <x:c r="T83" s="16" t="str">
        <x:v>各技能目录 Apache-2.0</x:v>
      </x:c>
      <x:c r="U83" s="16" t="str">
        <x:v>b29e7cf65e5cb78a5ac33d582270551bc74a14eb</x:v>
      </x:c>
      <x:c r="V83" s="16" t="str">
        <x:v>2026-07-24</x:v>
      </x:c>
      <x:c r="W83" s="16" t="str">
        <x:v>2026-08-07</x:v>
      </x:c>
      <x:c r="X83" s="16" t="n">
        <x:v>2</x:v>
      </x:c>
      <x:c r="Y83" s="16" t="n">
        <x:v>0</x:v>
      </x:c>
      <x:c r="Z83" s="14" t="str">
        <x:v>静态三级验证：读取入口、枚举包结构、扫描脚本/依赖/网络/凭据/写入；未运行。</x:v>
      </x:c>
    </x:row>
    <x:row r="84" ht="74" customHeight="1">
      <x:c r="A84" s="15" t="n">
        <x:v>80</x:v>
      </x:c>
      <x:c r="B84" s="15" t="str">
        <x:v>DISC-0809-0080</x:v>
      </x:c>
      <x:c r="C84" s="14" t="str">
        <x:v>G 数字媒体</x:v>
      </x:c>
      <x:c r="D84" s="14" t="str">
        <x:v>AR/VR/XR 开发</x:v>
      </x:c>
      <x:c r="E84" s="14" t="str">
        <x:v>ar-vr-xr</x:v>
      </x:c>
      <x:c r="F84" s="16" t="str">
        <x:v>GitHub</x:v>
      </x:c>
      <x:c r="G84" s="14" t="str">
        <x:v>travisjneuman/.claude</x:v>
      </x:c>
      <x:c r="H84" s="14" t="str">
        <x:v>https://github.com/travisjneuman/.claude/blob/e74cd20465be466b0f30c19da760bc986c50177f/skills/ar-vr-xr/SKILL.md</x:v>
      </x:c>
      <x:c r="I84" s="14" t="str">
        <x:v>覆盖 Unity XR、WebXR、ARKit、ARCore 与空间交互设计。</x:v>
      </x:c>
      <x:c r="J84" s="14" t="str">
        <x:v>数字媒体技术、新媒体技术、电影制作、计算机科学与技术</x:v>
      </x:c>
      <x:c r="K84" s="16" t="str">
        <x:v>专业核心</x:v>
      </x:c>
      <x:c r="L84" s="16" t="str">
        <x:v>SA</x:v>
      </x:c>
      <x:c r="M84" s="16" t="str">
        <x:v>原包可用</x:v>
      </x:c>
      <x:c r="N84" s="14" t="str">
        <x:v>未见随包可执行载荷；主要为说明、模板或参考资料</x:v>
      </x:c>
      <x:c r="O84" s="14" t="str">
        <x:v>未见必要的凭据或外部写入行为</x:v>
      </x:c>
      <x:c r="P84" s="14" t="str">
        <x:v>按只读说明/模板使用；仍需人工复核生成内容，不自动提交、发布或替代课程评价。</x:v>
      </x:c>
      <x:c r="Q84" s="14" t="str">
        <x:v>完整说明与已审资源；执行步骤仍受限制条件约束</x:v>
      </x:c>
      <x:c r="R84" s="14" t="str">
        <x:v>无强制剥离；按限制条件禁用越权步骤</x:v>
      </x:c>
      <x:c r="S84" s="16" t="str">
        <x:v>中</x:v>
      </x:c>
      <x:c r="T84" s="16" t="str">
        <x:v>MIT</x:v>
      </x:c>
      <x:c r="U84" s="16" t="str">
        <x:v>e74cd20465be466b0f30c19da760bc986c50177f</x:v>
      </x:c>
      <x:c r="V84" s="16" t="str">
        <x:v>2026-07-17</x:v>
      </x:c>
      <x:c r="W84" s="16" t="str">
        <x:v>2026-08-07</x:v>
      </x:c>
      <x:c r="X84" s="16" t="n">
        <x:v>1</x:v>
      </x:c>
      <x:c r="Y84" s="16" t="n">
        <x:v>0</x:v>
      </x:c>
      <x:c r="Z84" s="14" t="str">
        <x:v>静态三级验证：读取入口、枚举包结构、扫描脚本/依赖/网络/凭据/写入；未运行。</x:v>
      </x:c>
    </x:row>
    <x:row r="85" ht="74" customHeight="1">
      <x:c r="A85" s="15" t="n">
        <x:v>81</x:v>
      </x:c>
      <x:c r="B85" s="15" t="str">
        <x:v>DISC-0809-0081</x:v>
      </x:c>
      <x:c r="C85" s="14" t="str">
        <x:v>G 数字媒体</x:v>
      </x:c>
      <x:c r="D85" s="14" t="str">
        <x:v>音频制作</x:v>
      </x:c>
      <x:c r="E85" s="14" t="str">
        <x:v>audio-production</x:v>
      </x:c>
      <x:c r="F85" s="16" t="str">
        <x:v>GitHub</x:v>
      </x:c>
      <x:c r="G85" s="14" t="str">
        <x:v>travisjneuman/.claude</x:v>
      </x:c>
      <x:c r="H85" s="14" t="str">
        <x:v>https://github.com/travisjneuman/.claude/blob/e74cd20465be466b0f30c19da760bc986c50177f/skills/audio-production/SKILL.md</x:v>
      </x:c>
      <x:c r="I85" s="14" t="str">
        <x:v>指导录音、编辑、混音、母带、响度和声音设计。</x:v>
      </x:c>
      <x:c r="J85" s="14" t="str">
        <x:v>数字媒体技术、新媒体技术、电影制作、计算机科学与技术</x:v>
      </x:c>
      <x:c r="K85" s="16" t="str">
        <x:v>专业核心</x:v>
      </x:c>
      <x:c r="L85" s="16" t="str">
        <x:v>SA</x:v>
      </x:c>
      <x:c r="M85" s="16" t="str">
        <x:v>原包可用</x:v>
      </x:c>
      <x:c r="N85" s="14" t="str">
        <x:v>未见随包可执行载荷；主要为说明、模板或参考资料</x:v>
      </x:c>
      <x:c r="O85" s="14" t="str">
        <x:v>未见必要的凭据或外部写入行为</x:v>
      </x:c>
      <x:c r="P85" s="14" t="str">
        <x:v>按只读说明/模板使用；仍需人工复核生成内容，不自动提交、发布或替代课程评价。</x:v>
      </x:c>
      <x:c r="Q85" s="14" t="str">
        <x:v>完整说明与已审资源；执行步骤仍受限制条件约束</x:v>
      </x:c>
      <x:c r="R85" s="14" t="str">
        <x:v>无强制剥离；按限制条件禁用越权步骤</x:v>
      </x:c>
      <x:c r="S85" s="16" t="str">
        <x:v>中</x:v>
      </x:c>
      <x:c r="T85" s="16" t="str">
        <x:v>MIT</x:v>
      </x:c>
      <x:c r="U85" s="16" t="str">
        <x:v>e74cd20465be466b0f30c19da760bc986c50177f</x:v>
      </x:c>
      <x:c r="V85" s="16" t="str">
        <x:v>2026-07-17</x:v>
      </x:c>
      <x:c r="W85" s="16" t="str">
        <x:v>2026-08-07</x:v>
      </x:c>
      <x:c r="X85" s="16" t="n">
        <x:v>1</x:v>
      </x:c>
      <x:c r="Y85" s="16" t="n">
        <x:v>0</x:v>
      </x:c>
      <x:c r="Z85" s="14" t="str">
        <x:v>静态三级验证：读取入口、枚举包结构、扫描脚本/依赖/网络/凭据/写入；未运行。</x:v>
      </x:c>
    </x:row>
    <x:row r="86" ht="74" customHeight="1">
      <x:c r="A86" s="15" t="n">
        <x:v>82</x:v>
      </x:c>
      <x:c r="B86" s="15" t="str">
        <x:v>DISC-0809-0082</x:v>
      </x:c>
      <x:c r="C86" s="14" t="str">
        <x:v>G 数字媒体</x:v>
      </x:c>
      <x:c r="D86" s="14" t="str">
        <x:v>游戏开发</x:v>
      </x:c>
      <x:c r="E86" s="14" t="str">
        <x:v>game-development</x:v>
      </x:c>
      <x:c r="F86" s="16" t="str">
        <x:v>GitHub</x:v>
      </x:c>
      <x:c r="G86" s="14" t="str">
        <x:v>travisjneuman/.claude</x:v>
      </x:c>
      <x:c r="H86" s="14" t="str">
        <x:v>https://github.com/travisjneuman/.claude/blob/e74cd20465be466b0f30c19da760bc986c50177f/skills/game-development/SKILL.md</x:v>
      </x:c>
      <x:c r="I86" s="14" t="str">
        <x:v>覆盖 Unity、Unreal、Godot 的玩法、物理、AI、性能和发布基础。</x:v>
      </x:c>
      <x:c r="J86" s="14" t="str">
        <x:v>数字媒体技术、新媒体技术、电影制作、计算机科学与技术</x:v>
      </x:c>
      <x:c r="K86" s="16" t="str">
        <x:v>专业核心</x:v>
      </x:c>
      <x:c r="L86" s="16" t="str">
        <x:v>SB</x:v>
      </x:c>
      <x:c r="M86" s="16" t="str">
        <x:v>限制使用</x:v>
      </x:c>
      <x:c r="N86" s="14" t="str">
        <x:v>含文件写入示例或实现</x:v>
      </x:c>
      <x:c r="O86" s="14" t="str">
        <x:v>未见必要的凭据或外部写入行为</x:v>
      </x:c>
      <x:c r="P86" s="14" t="str">
        <x:v>在隔离项目目录内使用，所有状态改变均需人工确认；输出限于显式指定的新目录，禁止覆盖原文件。</x:v>
      </x:c>
      <x:c r="Q86" s="14" t="str">
        <x:v>完整说明与已审资源；执行步骤仍受限制条件约束</x:v>
      </x:c>
      <x:c r="R86" s="14" t="str">
        <x:v>无强制剥离；按限制条件禁用越权步骤</x:v>
      </x:c>
      <x:c r="S86" s="16" t="str">
        <x:v>中</x:v>
      </x:c>
      <x:c r="T86" s="16" t="str">
        <x:v>MIT</x:v>
      </x:c>
      <x:c r="U86" s="16" t="str">
        <x:v>e74cd20465be466b0f30c19da760bc986c50177f</x:v>
      </x:c>
      <x:c r="V86" s="16" t="str">
        <x:v>2026-07-17</x:v>
      </x:c>
      <x:c r="W86" s="16" t="str">
        <x:v>2026-08-07</x:v>
      </x:c>
      <x:c r="X86" s="16" t="n">
        <x:v>1</x:v>
      </x:c>
      <x:c r="Y86" s="16" t="n">
        <x:v>0</x:v>
      </x:c>
      <x:c r="Z86" s="14" t="str">
        <x:v>静态三级验证：读取入口、枚举包结构、扫描脚本/依赖/网络/凭据/写入；未运行。</x:v>
      </x:c>
    </x:row>
    <x:row r="87" ht="74" customHeight="1">
      <x:c r="A87" s="15" t="n">
        <x:v>83</x:v>
      </x:c>
      <x:c r="B87" s="15" t="str">
        <x:v>DISC-0809-0083</x:v>
      </x:c>
      <x:c r="C87" s="14" t="str">
        <x:v>G 数字媒体</x:v>
      </x:c>
      <x:c r="D87" s="14" t="str">
        <x:v>视频制作</x:v>
      </x:c>
      <x:c r="E87" s="14" t="str">
        <x:v>video-production</x:v>
      </x:c>
      <x:c r="F87" s="16" t="str">
        <x:v>GitHub</x:v>
      </x:c>
      <x:c r="G87" s="14" t="str">
        <x:v>travisjneuman/.claude</x:v>
      </x:c>
      <x:c r="H87" s="14" t="str">
        <x:v>https://github.com/travisjneuman/.claude/blob/e74cd20465be466b0f30c19da760bc986c50177f/skills/video-production/SKILL.md</x:v>
      </x:c>
      <x:c r="I87" s="14" t="str">
        <x:v>组织前期、拍摄、剪辑、调色、动效、声音和多平台交付。</x:v>
      </x:c>
      <x:c r="J87" s="14" t="str">
        <x:v>数字媒体技术、新媒体技术、电影制作、计算机科学与技术</x:v>
      </x:c>
      <x:c r="K87" s="16" t="str">
        <x:v>专业核心</x:v>
      </x:c>
      <x:c r="L87" s="16" t="str">
        <x:v>SA</x:v>
      </x:c>
      <x:c r="M87" s="16" t="str">
        <x:v>原包可用</x:v>
      </x:c>
      <x:c r="N87" s="14" t="str">
        <x:v>未见随包可执行载荷；主要为说明、模板或参考资料</x:v>
      </x:c>
      <x:c r="O87" s="14" t="str">
        <x:v>未见必要的凭据或外部写入行为</x:v>
      </x:c>
      <x:c r="P87" s="14" t="str">
        <x:v>按只读说明/模板使用；仍需人工复核生成内容，不自动提交、发布或替代课程评价。</x:v>
      </x:c>
      <x:c r="Q87" s="14" t="str">
        <x:v>完整说明与已审资源；执行步骤仍受限制条件约束</x:v>
      </x:c>
      <x:c r="R87" s="14" t="str">
        <x:v>无强制剥离；按限制条件禁用越权步骤</x:v>
      </x:c>
      <x:c r="S87" s="16" t="str">
        <x:v>高</x:v>
      </x:c>
      <x:c r="T87" s="16" t="str">
        <x:v>MIT</x:v>
      </x:c>
      <x:c r="U87" s="16" t="str">
        <x:v>e74cd20465be466b0f30c19da760bc986c50177f</x:v>
      </x:c>
      <x:c r="V87" s="16" t="str">
        <x:v>2026-07-17</x:v>
      </x:c>
      <x:c r="W87" s="16" t="str">
        <x:v>2026-08-07</x:v>
      </x:c>
      <x:c r="X87" s="16" t="n">
        <x:v>1</x:v>
      </x:c>
      <x:c r="Y87" s="16" t="n">
        <x:v>0</x:v>
      </x:c>
      <x:c r="Z87" s="14" t="str">
        <x:v>静态三级验证：读取入口、枚举包结构、扫描脚本/依赖/网络/凭据/写入；未运行。</x:v>
      </x:c>
    </x:row>
    <x:row r="88" ht="74" customHeight="1">
      <x:c r="A88" s="15" t="n">
        <x:v>84</x:v>
      </x:c>
      <x:c r="B88" s="15" t="str">
        <x:v>DISC-0809-0084</x:v>
      </x:c>
      <x:c r="C88" s="14" t="str">
        <x:v>G 数字媒体</x:v>
      </x:c>
      <x:c r="D88" s="14" t="str">
        <x:v>WCAG 可访问性审计</x:v>
      </x:c>
      <x:c r="E88" s="14" t="str">
        <x:v>wcag-audit-patterns</x:v>
      </x:c>
      <x:c r="F88" s="16" t="str">
        <x:v>GitHub</x:v>
      </x:c>
      <x:c r="G88" s="14" t="str">
        <x:v>wshobson/agents</x:v>
      </x:c>
      <x:c r="H88" s="14" t="str">
        <x:v>https://github.com/wshobson/agents/blob/c4b82b0ad771190355eb8e204b1329732a18449a/plugins/accessibility-compliance/skills/wcag-audit-patterns/SKILL.md</x:v>
      </x:c>
      <x:c r="I88" s="14" t="str">
        <x:v>依据 WCAG 对页面结构、键盘、对比度和辅助技术兼容性开展审计。</x:v>
      </x:c>
      <x:c r="J88" s="14" t="str">
        <x:v>数字媒体技术、新媒体技术、电影制作、计算机科学与技术</x:v>
      </x:c>
      <x:c r="K88" s="16" t="str">
        <x:v>专业核心</x:v>
      </x:c>
      <x:c r="L88" s="16" t="str">
        <x:v>SA</x:v>
      </x:c>
      <x:c r="M88" s="16" t="str">
        <x:v>原包可用</x:v>
      </x:c>
      <x:c r="N88" s="14" t="str">
        <x:v>未见随包可执行载荷；主要为说明、模板或参考资料</x:v>
      </x:c>
      <x:c r="O88" s="14" t="str">
        <x:v>包含外部链接、下载、API 或网络访问说明</x:v>
      </x:c>
      <x:c r="P88" s="14" t="str">
        <x:v>按只读说明/模板使用；仍需人工复核生成内容，不自动提交、发布或替代课程评价。</x:v>
      </x:c>
      <x:c r="Q88" s="14" t="str">
        <x:v>完整说明与已审资源；执行步骤仍受限制条件约束</x:v>
      </x:c>
      <x:c r="R88" s="14" t="str">
        <x:v>无强制剥离；按限制条件禁用越权步骤</x:v>
      </x:c>
      <x:c r="S88" s="16" t="str">
        <x:v>中</x:v>
      </x:c>
      <x:c r="T88" s="16" t="str">
        <x:v>MIT</x:v>
      </x:c>
      <x:c r="U88" s="16" t="str">
        <x:v>c4b82b0ad771190355eb8e204b1329732a18449a</x:v>
      </x:c>
      <x:c r="V88" s="16" t="str">
        <x:v>2026-07-18</x:v>
      </x:c>
      <x:c r="W88" s="16" t="str">
        <x:v>2026-08-07</x:v>
      </x:c>
      <x:c r="X88" s="16" t="n">
        <x:v>2</x:v>
      </x:c>
      <x:c r="Y88" s="16" t="n">
        <x:v>0</x:v>
      </x:c>
      <x:c r="Z88" s="14" t="str">
        <x:v>静态三级验证：读取入口、枚举包结构、扫描脚本/依赖/网络/凭据/写入；未运行。</x:v>
      </x:c>
    </x:row>
    <x:row r="89" ht="74" customHeight="1">
      <x:c r="A89" s="15" t="n">
        <x:v>85</x:v>
      </x:c>
      <x:c r="B89" s="15" t="str">
        <x:v>DISC-0809-0085</x:v>
      </x:c>
      <x:c r="C89" s="14" t="str">
        <x:v>G 数字媒体</x:v>
      </x:c>
      <x:c r="D89" s="14" t="str">
        <x:v>Gradio 交互应用</x:v>
      </x:c>
      <x:c r="E89" s="14" t="str">
        <x:v>huggingface-gradio</x:v>
      </x:c>
      <x:c r="F89" s="16" t="str">
        <x:v>GitHub（Hugging Face 官方上游）</x:v>
      </x:c>
      <x:c r="G89" s="14" t="str">
        <x:v>huggingface/skills</x:v>
      </x:c>
      <x:c r="H89" s="14" t="str">
        <x:v>https://github.com/huggingface/skills/blob/7cb53d7a4746289db435c14fd7d7096965266b10/skills/huggingface-gradio/SKILL.md</x:v>
      </x:c>
      <x:c r="I89" s="14" t="str">
        <x:v>构建面向模型、数据和多媒体任务的 Python 交互界面。</x:v>
      </x:c>
      <x:c r="J89" s="14" t="str">
        <x:v>数字媒体技术、新媒体技术、电影制作、计算机科学与技术</x:v>
      </x:c>
      <x:c r="K89" s="16" t="str">
        <x:v>专业核心</x:v>
      </x:c>
      <x:c r="L89" s="16" t="str">
        <x:v>SB</x:v>
      </x:c>
      <x:c r="M89" s="16" t="str">
        <x:v>限制使用</x:v>
      </x:c>
      <x:c r="N89" s="14" t="str">
        <x:v>含文件写入示例或实现</x:v>
      </x:c>
      <x:c r="O89" s="14" t="str">
        <x:v>包含外部链接、下载、API 或网络访问说明；涉及凭据、令牌或秘密管理语境；包含上传、发布、推送、部署或其他外部状态行为</x:v>
      </x:c>
      <x:c r="P89" s="14" t="str">
        <x:v>在隔离项目目录内使用，所有状态改变均需人工确认；默认断网；确需联网时只开放已核准域名且不得发送校内敏感数据；不得读取或回显现有凭据，令牌由用户侧最小权限注入；输出限于显式指定的新目录，禁止覆盖原文件；禁止自动上传、发布、推送、部署、评论或付费任务。</x:v>
      </x:c>
      <x:c r="Q89" s="14" t="str">
        <x:v>完整说明与已审资源；执行步骤仍受限制条件约束</x:v>
      </x:c>
      <x:c r="R89" s="14" t="str">
        <x:v>无强制剥离；按限制条件禁用越权步骤</x:v>
      </x:c>
      <x:c r="S89" s="16" t="str">
        <x:v>中</x:v>
      </x:c>
      <x:c r="T89" s="16" t="str">
        <x:v>Apache-2.0</x:v>
      </x:c>
      <x:c r="U89" s="16" t="str">
        <x:v>7cb53d7a4746289db435c14fd7d7096965266b10</x:v>
      </x:c>
      <x:c r="V89" s="16" t="str">
        <x:v>2026-08-06</x:v>
      </x:c>
      <x:c r="W89" s="16" t="str">
        <x:v>2026-08-07</x:v>
      </x:c>
      <x:c r="X89" s="16" t="n">
        <x:v>2</x:v>
      </x:c>
      <x:c r="Y89" s="16" t="n">
        <x:v>0</x:v>
      </x:c>
      <x:c r="Z89" s="14" t="str">
        <x:v>静态三级验证：读取入口、枚举包结构、扫描脚本/依赖/网络/凭据/写入；未运行。</x:v>
      </x:c>
    </x:row>
    <x:row r="90" ht="74" customHeight="1">
      <x:c r="A90" s="15" t="n">
        <x:v>86</x:v>
      </x:c>
      <x:c r="B90" s="15" t="str">
        <x:v>DISC-0809-0086</x:v>
      </x:c>
      <x:c r="C90" s="14" t="str">
        <x:v>H 保密治理</x:v>
      </x:c>
      <x:c r="D90" s="14" t="str">
        <x:v>合规工程</x:v>
      </x:c>
      <x:c r="E90" s="14" t="str">
        <x:v>compliance-engineering</x:v>
      </x:c>
      <x:c r="F90" s="16" t="str">
        <x:v>GitHub</x:v>
      </x:c>
      <x:c r="G90" s="14" t="str">
        <x:v>travisjneuman/.claude</x:v>
      </x:c>
      <x:c r="H90" s="14" t="str">
        <x:v>https://github.com/travisjneuman/.claude/blob/e74cd20465be466b0f30c19da760bc986c50177f/skills/compliance-engineering/SKILL.md</x:v>
      </x:c>
      <x:c r="I90" s="14" t="str">
        <x:v>把 GDPR、SOC 2、PCI-DSS 等要求映射到访问、加密、审计和隐私控制。</x:v>
      </x:c>
      <x:c r="J90" s="14" t="str">
        <x:v>信息安全、网络空间安全、保密管理、软件工程</x:v>
      </x:c>
      <x:c r="K90" s="16" t="str">
        <x:v>专业核心 / 跨专业通用</x:v>
      </x:c>
      <x:c r="L90" s="16" t="str">
        <x:v>SB</x:v>
      </x:c>
      <x:c r="M90" s="16" t="str">
        <x:v>限制使用</x:v>
      </x:c>
      <x:c r="N90" s="14" t="str">
        <x:v>含删除相关示例</x:v>
      </x:c>
      <x:c r="O90" s="14" t="str">
        <x:v>未见必要的凭据或外部写入行为</x:v>
      </x:c>
      <x:c r="P90" s="14" t="str">
        <x:v>在隔离项目目录内使用，所有状态改变均需人工确认；删除命令从适配版剥离。</x:v>
      </x:c>
      <x:c r="Q90" s="14" t="str">
        <x:v>完整说明与已审资源；执行步骤仍受限制条件约束</x:v>
      </x:c>
      <x:c r="R90" s="14" t="str">
        <x:v>无强制剥离；按限制条件禁用越权步骤</x:v>
      </x:c>
      <x:c r="S90" s="16" t="str">
        <x:v>高</x:v>
      </x:c>
      <x:c r="T90" s="16" t="str">
        <x:v>MIT</x:v>
      </x:c>
      <x:c r="U90" s="16" t="str">
        <x:v>e74cd20465be466b0f30c19da760bc986c50177f</x:v>
      </x:c>
      <x:c r="V90" s="16" t="str">
        <x:v>2026-07-17</x:v>
      </x:c>
      <x:c r="W90" s="16" t="str">
        <x:v>2026-08-07</x:v>
      </x:c>
      <x:c r="X90" s="16" t="n">
        <x:v>1</x:v>
      </x:c>
      <x:c r="Y90" s="16" t="n">
        <x:v>0</x:v>
      </x:c>
      <x:c r="Z90" s="14" t="str">
        <x:v>静态三级验证：读取入口、枚举包结构、扫描脚本/依赖/网络/凭据/写入；未运行。</x:v>
      </x:c>
    </x:row>
    <x:row r="91" ht="74" customHeight="1">
      <x:c r="A91" s="15" t="n">
        <x:v>87</x:v>
      </x:c>
      <x:c r="B91" s="15" t="str">
        <x:v>DISC-0809-0087</x:v>
      </x:c>
      <x:c r="C91" s="14" t="str">
        <x:v>H 保密治理</x:v>
      </x:c>
      <x:c r="D91" s="14" t="str">
        <x:v>GDPR 数据处理</x:v>
      </x:c>
      <x:c r="E91" s="14" t="str">
        <x:v>gdpr-data-handling</x:v>
      </x:c>
      <x:c r="F91" s="16" t="str">
        <x:v>GitHub</x:v>
      </x:c>
      <x:c r="G91" s="14" t="str">
        <x:v>wshobson/agents</x:v>
      </x:c>
      <x:c r="H91" s="14" t="str">
        <x:v>https://github.com/wshobson/agents/blob/c4b82b0ad771190355eb8e204b1329732a18449a/plugins/hr-legal-compliance/skills/gdpr-data-handling/SKILL.md</x:v>
      </x:c>
      <x:c r="I91" s="14" t="str">
        <x:v>把数据最小化、合法基础、访问、更正、删除和留存要求落实到系统。</x:v>
      </x:c>
      <x:c r="J91" s="14" t="str">
        <x:v>信息安全、网络空间安全、保密管理、软件工程</x:v>
      </x:c>
      <x:c r="K91" s="16" t="str">
        <x:v>专业核心 / 跨专业通用</x:v>
      </x:c>
      <x:c r="L91" s="16" t="str">
        <x:v>SB</x:v>
      </x:c>
      <x:c r="M91" s="16" t="str">
        <x:v>限制使用</x:v>
      </x:c>
      <x:c r="N91" s="14" t="str">
        <x:v>含删除相关示例</x:v>
      </x:c>
      <x:c r="O91" s="14" t="str">
        <x:v>包含外部链接、下载、API 或网络访问说明；涉及凭据、令牌或秘密管理语境</x:v>
      </x:c>
      <x:c r="P91" s="14" t="str">
        <x:v>在隔离项目目录内使用，所有状态改变均需人工确认；默认断网；确需联网时只开放已核准域名且不得发送校内敏感数据；不得读取或回显现有凭据，令牌由用户侧最小权限注入；删除命令从适配版剥离。</x:v>
      </x:c>
      <x:c r="Q91" s="14" t="str">
        <x:v>完整说明与已审资源；执行步骤仍受限制条件约束</x:v>
      </x:c>
      <x:c r="R91" s="14" t="str">
        <x:v>无强制剥离；按限制条件禁用越权步骤</x:v>
      </x:c>
      <x:c r="S91" s="16" t="str">
        <x:v>高</x:v>
      </x:c>
      <x:c r="T91" s="16" t="str">
        <x:v>MIT</x:v>
      </x:c>
      <x:c r="U91" s="16" t="str">
        <x:v>c4b82b0ad771190355eb8e204b1329732a18449a</x:v>
      </x:c>
      <x:c r="V91" s="16" t="str">
        <x:v>2026-07-18</x:v>
      </x:c>
      <x:c r="W91" s="16" t="str">
        <x:v>2026-08-07</x:v>
      </x:c>
      <x:c r="X91" s="16" t="n">
        <x:v>2</x:v>
      </x:c>
      <x:c r="Y91" s="16" t="n">
        <x:v>0</x:v>
      </x:c>
      <x:c r="Z91" s="14" t="str">
        <x:v>静态三级验证：读取入口、枚举包结构、扫描脚本/依赖/网络/凭据/写入；未运行。</x:v>
      </x:c>
    </x:row>
    <x:row r="92" ht="74" customHeight="1">
      <x:c r="A92" s="15" t="n">
        <x:v>88</x:v>
      </x:c>
      <x:c r="B92" s="15" t="str">
        <x:v>DISC-0809-0088</x:v>
      </x:c>
      <x:c r="C92" s="14" t="str">
        <x:v>H 保密治理</x:v>
      </x:c>
      <x:c r="D92" s="14" t="str">
        <x:v>秘密管理</x:v>
      </x:c>
      <x:c r="E92" s="14" t="str">
        <x:v>secrets-management</x:v>
      </x:c>
      <x:c r="F92" s="16" t="str">
        <x:v>GitHub</x:v>
      </x:c>
      <x:c r="G92" s="14" t="str">
        <x:v>wshobson/agents</x:v>
      </x:c>
      <x:c r="H92" s="14" t="str">
        <x:v>https://github.com/wshobson/agents/blob/c4b82b0ad771190355eb8e204b1329732a18449a/plugins/cicd-automation/skills/secrets-management/SKILL.md</x:v>
      </x:c>
      <x:c r="I92" s="14" t="str">
        <x:v>设计 CI/CD 中的秘密存储、动态凭据、轮换和最小权限。</x:v>
      </x:c>
      <x:c r="J92" s="14" t="str">
        <x:v>信息安全、网络空间安全、保密管理、软件工程</x:v>
      </x:c>
      <x:c r="K92" s="16" t="str">
        <x:v>专业核心 / 跨专业通用</x:v>
      </x:c>
      <x:c r="L92" s="16" t="str">
        <x:v>SB-A</x:v>
      </x:c>
      <x:c r="M92" s="16" t="str">
        <x:v>仅适配后使用</x:v>
      </x:c>
      <x:c r="N92" s="14" t="str">
        <x:v>含文件写入示例或实现</x:v>
      </x:c>
      <x:c r="O92" s="14" t="str">
        <x:v>包含外部链接、下载、API 或网络访问说明；涉及凭据、令牌或秘密管理语境；包含上传、发布、推送、部署或其他外部状态行为</x:v>
      </x:c>
      <x:c r="P92" s="14" t="str">
        <x:v>在隔离项目目录内使用，所有状态改变均需人工确认；移除未锁版本安装与远程执行示例，依赖固定版本和哈希；默认断网；确需联网时只开放已核准域名且不得发送校内敏感数据；不得读取或回显现有凭据，令牌由用户侧最小权限注入；输出限于显式指定的新目录，禁止覆盖原文件；禁止自动上传、发布、推送、部署、评论或付费任务。</x:v>
      </x:c>
      <x:c r="Q92" s="14" t="str">
        <x:v>SKILL.md、说明型 references 与非可执行模板；脚本仅在逐文件复核且固定依赖后单独启用</x:v>
      </x:c>
      <x:c r="R92" s="14" t="str">
        <x:v>移除未锁安装、下载后执行、自动上传/发布/推送/部署、凭据读取和高权限命令；不整包安装</x:v>
      </x:c>
      <x:c r="S92" s="16" t="str">
        <x:v>高</x:v>
      </x:c>
      <x:c r="T92" s="16" t="str">
        <x:v>MIT</x:v>
      </x:c>
      <x:c r="U92" s="16" t="str">
        <x:v>c4b82b0ad771190355eb8e204b1329732a18449a</x:v>
      </x:c>
      <x:c r="V92" s="16" t="str">
        <x:v>2026-07-18</x:v>
      </x:c>
      <x:c r="W92" s="16" t="str">
        <x:v>2026-08-07</x:v>
      </x:c>
      <x:c r="X92" s="16" t="n">
        <x:v>1</x:v>
      </x:c>
      <x:c r="Y92" s="16" t="n">
        <x:v>0</x:v>
      </x:c>
      <x:c r="Z92" s="14" t="str">
        <x:v>静态三级验证：读取入口、枚举包结构、扫描脚本/依赖/网络/凭据/写入；未运行。</x:v>
      </x:c>
    </x:row>
  </x:sheetData>
  <x:mergeCells>
    <x:mergeCell ref="A1:Z1"/>
    <x:mergeCell ref="A2:Z2"/>
  </x:mergeCells>
  <x:conditionalFormatting sqref="L5:L92">
    <x:cfRule type="cellIs" dxfId="0" priority="1" operator="equal">
      <x:formula>"SA"</x:formula>
    </x:cfRule>
    <x:cfRule type="cellIs" dxfId="1" priority="2" operator="equal">
      <x:formula>"SB"</x:formula>
    </x:cfRule>
    <x:cfRule type="cellIs" dxfId="2" priority="3" operator="equal">
      <x:formula>"SB-A"</x:formula>
    </x:cfRule>
  </x:conditionalFormatting>
  <x:conditionalFormatting sqref="S5:S92">
    <x:cfRule type="cellIs" dxfId="3" priority="4" operator="equal">
      <x:formula>"高"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cb6fc69e054b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</x:cols>
  <x:sheetData>
    <x:row r="1">
      <x:c r="A1" s="2" t="str">
        <x:v>0809 计算机类｜14 个专业覆盖</x:v>
      </x:c>
      <x:c r="B1" s="2"/>
      <x:c r="C1" s="2"/>
      <x:c r="D1" s="2"/>
      <x:c r="E1" s="2"/>
      <x:c r="F1" s="2"/>
      <x:c r="G1" s="2"/>
      <x:c r="H1" s="2"/>
    </x:row>
    <x:row r="2">
      <x:c r="A2" s="5" t="str">
        <x:v>数量由“技能清单”的覆盖专业字段自动统计；一项 Skill 可覆盖多个专业，因此合计会高于 88。</x:v>
      </x:c>
      <x:c r="B2" s="5"/>
      <x:c r="C2" s="5"/>
      <x:c r="D2" s="5"/>
      <x:c r="E2" s="5"/>
      <x:c r="F2" s="5"/>
      <x:c r="G2" s="5"/>
      <x:c r="H2" s="5"/>
    </x:row>
    <x:row r="4">
      <x:c r="A4" s="33" t="str">
        <x:v>专业代码</x:v>
      </x:c>
      <x:c r="B4" s="33" t="str">
        <x:v>专业名称</x:v>
      </x:c>
      <x:c r="C4" s="33" t="str">
        <x:v>候选数</x:v>
      </x:c>
      <x:c r="D4" s="33" t="str">
        <x:v>高优先级</x:v>
      </x:c>
      <x:c r="E4" s="33" t="str">
        <x:v>SA</x:v>
      </x:c>
      <x:c r="F4" s="33" t="str">
        <x:v>SB</x:v>
      </x:c>
      <x:c r="G4" s="33" t="str">
        <x:v>SB-A</x:v>
      </x:c>
      <x:c r="H4" s="33" t="str">
        <x:v>覆盖状态</x:v>
      </x:c>
    </x:row>
    <x:row r="5">
      <x:c r="A5" s="38" t="str">
        <x:v>080901K</x:v>
      </x:c>
      <x:c r="B5" s="38" t="str">
        <x:v>计算机科学与技术</x:v>
      </x:c>
      <x:c r="C5" s="39" t="n">
        <x:f>COUNTIF('专业映射'!$B$5:$B$400,B5)</x:f>
        <x:v>75</x:v>
      </x:c>
      <x:c r="D5" s="39" t="n">
        <x:f>COUNTIFS('专业映射'!$B$5:$B$400,B5,'专业映射'!$C$5:$C$400,"高")</x:f>
        <x:v>11</x:v>
      </x:c>
      <x:c r="E5" s="39" t="n">
        <x:f>COUNTIFS('专业映射'!$B$5:$B$400,B5,'专业映射'!$D$5:$D$400,"SA")</x:f>
        <x:v>23</x:v>
      </x:c>
      <x:c r="F5" s="39" t="n">
        <x:f>COUNTIFS('专业映射'!$B$5:$B$400,B5,'专业映射'!$D$5:$D$400,"SB")</x:f>
        <x:v>29</x:v>
      </x:c>
      <x:c r="G5" s="39" t="n">
        <x:f>COUNTIFS('专业映射'!$B$5:$B$400,B5,'专业映射'!$D$5:$D$400,"SB-A")</x:f>
        <x:v>23</x:v>
      </x:c>
      <x:c r="H5" s="39" t="str">
        <x:f>IF(C5&gt;0,"已覆盖","待补充")</x:f>
        <x:v>已覆盖</x:v>
      </x:c>
    </x:row>
    <x:row r="6">
      <x:c r="A6" s="38" t="str">
        <x:v>080902</x:v>
      </x:c>
      <x:c r="B6" s="38" t="str">
        <x:v>软件工程</x:v>
      </x:c>
      <x:c r="C6" s="39" t="n">
        <x:f>COUNTIF('专业映射'!$B$5:$B$400,B6)</x:f>
        <x:v>41</x:v>
      </x:c>
      <x:c r="D6" s="39" t="n">
        <x:f>COUNTIFS('专业映射'!$B$5:$B$400,B6,'专业映射'!$C$5:$C$400,"高")</x:f>
        <x:v>8</x:v>
      </x:c>
      <x:c r="E6" s="39" t="n">
        <x:f>COUNTIFS('专业映射'!$B$5:$B$400,B6,'专业映射'!$D$5:$D$400,"SA")</x:f>
        <x:v>14</x:v>
      </x:c>
      <x:c r="F6" s="39" t="n">
        <x:f>COUNTIFS('专业映射'!$B$5:$B$400,B6,'专业映射'!$D$5:$D$400,"SB")</x:f>
        <x:v>20</x:v>
      </x:c>
      <x:c r="G6" s="39" t="n">
        <x:f>COUNTIFS('专业映射'!$B$5:$B$400,B6,'专业映射'!$D$5:$D$400,"SB-A")</x:f>
        <x:v>7</x:v>
      </x:c>
      <x:c r="H6" s="39" t="str">
        <x:f>IF(C6&gt;0,"已覆盖","待补充")</x:f>
        <x:v>已覆盖</x:v>
      </x:c>
    </x:row>
    <x:row r="7">
      <x:c r="A7" s="38" t="str">
        <x:v>080903</x:v>
      </x:c>
      <x:c r="B7" s="38" t="str">
        <x:v>网络工程</x:v>
      </x:c>
      <x:c r="C7" s="39" t="n">
        <x:f>COUNTIF('专业映射'!$B$5:$B$400,B7)</x:f>
        <x:v>39</x:v>
      </x:c>
      <x:c r="D7" s="39" t="n">
        <x:f>COUNTIFS('专业映射'!$B$5:$B$400,B7,'专业映射'!$C$5:$C$400,"高")</x:f>
        <x:v>9</x:v>
      </x:c>
      <x:c r="E7" s="39" t="n">
        <x:f>COUNTIFS('专业映射'!$B$5:$B$400,B7,'专业映射'!$D$5:$D$400,"SA")</x:f>
        <x:v>17</x:v>
      </x:c>
      <x:c r="F7" s="39" t="n">
        <x:f>COUNTIFS('专业映射'!$B$5:$B$400,B7,'专业映射'!$D$5:$D$400,"SB")</x:f>
        <x:v>19</x:v>
      </x:c>
      <x:c r="G7" s="39" t="n">
        <x:f>COUNTIFS('专业映射'!$B$5:$B$400,B7,'专业映射'!$D$5:$D$400,"SB-A")</x:f>
        <x:v>3</x:v>
      </x:c>
      <x:c r="H7" s="39" t="str">
        <x:f>IF(C7&gt;0,"已覆盖","待补充")</x:f>
        <x:v>已覆盖</x:v>
      </x:c>
    </x:row>
    <x:row r="8">
      <x:c r="A8" s="38" t="str">
        <x:v>080904K</x:v>
      </x:c>
      <x:c r="B8" s="38" t="str">
        <x:v>信息安全</x:v>
      </x:c>
      <x:c r="C8" s="39" t="n">
        <x:f>COUNTIF('专业映射'!$B$5:$B$400,B8)</x:f>
        <x:v>11</x:v>
      </x:c>
      <x:c r="D8" s="39" t="n">
        <x:f>COUNTIFS('专业映射'!$B$5:$B$400,B8,'专业映射'!$C$5:$C$400,"高")</x:f>
        <x:v>8</x:v>
      </x:c>
      <x:c r="E8" s="39" t="n">
        <x:f>COUNTIFS('专业映射'!$B$5:$B$400,B8,'专业映射'!$D$5:$D$400,"SA")</x:f>
        <x:v>4</x:v>
      </x:c>
      <x:c r="F8" s="39" t="n">
        <x:f>COUNTIFS('专业映射'!$B$5:$B$400,B8,'专业映射'!$D$5:$D$400,"SB")</x:f>
        <x:v>6</x:v>
      </x:c>
      <x:c r="G8" s="39" t="n">
        <x:f>COUNTIFS('专业映射'!$B$5:$B$400,B8,'专业映射'!$D$5:$D$400,"SB-A")</x:f>
        <x:v>1</x:v>
      </x:c>
      <x:c r="H8" s="39" t="str">
        <x:f>IF(C8&gt;0,"已覆盖","待补充")</x:f>
        <x:v>已覆盖</x:v>
      </x:c>
    </x:row>
    <x:row r="9">
      <x:c r="A9" s="38" t="str">
        <x:v>080905T</x:v>
      </x:c>
      <x:c r="B9" s="38" t="str">
        <x:v>物联网工程</x:v>
      </x:c>
      <x:c r="C9" s="39" t="n">
        <x:f>COUNTIF('专业映射'!$B$5:$B$400,B9)</x:f>
        <x:v>21</x:v>
      </x:c>
      <x:c r="D9" s="39" t="n">
        <x:f>COUNTIFS('专业映射'!$B$5:$B$400,B9,'专业映射'!$C$5:$C$400,"高")</x:f>
        <x:v>7</x:v>
      </x:c>
      <x:c r="E9" s="39" t="n">
        <x:f>COUNTIFS('专业映射'!$B$5:$B$400,B9,'专业映射'!$D$5:$D$400,"SA")</x:f>
        <x:v>7</x:v>
      </x:c>
      <x:c r="F9" s="39" t="n">
        <x:f>COUNTIFS('专业映射'!$B$5:$B$400,B9,'专业映射'!$D$5:$D$400,"SB")</x:f>
        <x:v>12</x:v>
      </x:c>
      <x:c r="G9" s="39" t="n">
        <x:f>COUNTIFS('专业映射'!$B$5:$B$400,B9,'专业映射'!$D$5:$D$400,"SB-A")</x:f>
        <x:v>2</x:v>
      </x:c>
      <x:c r="H9" s="39" t="str">
        <x:f>IF(C9&gt;0,"已覆盖","待补充")</x:f>
        <x:v>已覆盖</x:v>
      </x:c>
    </x:row>
    <x:row r="10">
      <x:c r="A10" s="38" t="str">
        <x:v>080906T</x:v>
      </x:c>
      <x:c r="B10" s="38" t="str">
        <x:v>数字媒体技术</x:v>
      </x:c>
      <x:c r="C10" s="39" t="n">
        <x:f>COUNTIF('专业映射'!$B$5:$B$400,B10)</x:f>
        <x:v>10</x:v>
      </x:c>
      <x:c r="D10" s="39" t="n">
        <x:f>COUNTIFS('专业映射'!$B$5:$B$400,B10,'专业映射'!$C$5:$C$400,"高")</x:f>
        <x:v>2</x:v>
      </x:c>
      <x:c r="E10" s="39" t="n">
        <x:f>COUNTIFS('专业映射'!$B$5:$B$400,B10,'专业映射'!$D$5:$D$400,"SA")</x:f>
        <x:v>6</x:v>
      </x:c>
      <x:c r="F10" s="39" t="n">
        <x:f>COUNTIFS('专业映射'!$B$5:$B$400,B10,'专业映射'!$D$5:$D$400,"SB")</x:f>
        <x:v>3</x:v>
      </x:c>
      <x:c r="G10" s="39" t="n">
        <x:f>COUNTIFS('专业映射'!$B$5:$B$400,B10,'专业映射'!$D$5:$D$400,"SB-A")</x:f>
        <x:v>1</x:v>
      </x:c>
      <x:c r="H10" s="39" t="str">
        <x:f>IF(C10&gt;0,"已覆盖","待补充")</x:f>
        <x:v>已覆盖</x:v>
      </x:c>
    </x:row>
    <x:row r="11">
      <x:c r="A11" s="38" t="str">
        <x:v>080907T</x:v>
      </x:c>
      <x:c r="B11" s="38" t="str">
        <x:v>智能科学与技术</x:v>
      </x:c>
      <x:c r="C11" s="39" t="n">
        <x:f>COUNTIF('专业映射'!$B$5:$B$400,B11)</x:f>
        <x:v>36</x:v>
      </x:c>
      <x:c r="D11" s="39" t="n">
        <x:f>COUNTIFS('专业映射'!$B$5:$B$400,B11,'专业映射'!$C$5:$C$400,"高")</x:f>
        <x:v>7</x:v>
      </x:c>
      <x:c r="E11" s="39" t="n">
        <x:f>COUNTIFS('专业映射'!$B$5:$B$400,B11,'专业映射'!$D$5:$D$400,"SA")</x:f>
        <x:v>4</x:v>
      </x:c>
      <x:c r="F11" s="39" t="n">
        <x:f>COUNTIFS('专业映射'!$B$5:$B$400,B11,'专业映射'!$D$5:$D$400,"SB")</x:f>
        <x:v>11</x:v>
      </x:c>
      <x:c r="G11" s="39" t="n">
        <x:f>COUNTIFS('专业映射'!$B$5:$B$400,B11,'专业映射'!$D$5:$D$400,"SB-A")</x:f>
        <x:v>21</x:v>
      </x:c>
      <x:c r="H11" s="39" t="str">
        <x:f>IF(C11&gt;0,"已覆盖","待补充")</x:f>
        <x:v>已覆盖</x:v>
      </x:c>
    </x:row>
    <x:row r="12">
      <x:c r="A12" s="38" t="str">
        <x:v>080908T</x:v>
      </x:c>
      <x:c r="B12" s="38" t="str">
        <x:v>空间信息与数字技术</x:v>
      </x:c>
      <x:c r="C12" s="39" t="n">
        <x:f>COUNTIF('专业映射'!$B$5:$B$400,B12)</x:f>
        <x:v>16</x:v>
      </x:c>
      <x:c r="D12" s="39" t="n">
        <x:f>COUNTIFS('专业映射'!$B$5:$B$400,B12,'专业映射'!$C$5:$C$400,"高")</x:f>
        <x:v>4</x:v>
      </x:c>
      <x:c r="E12" s="39" t="n">
        <x:f>COUNTIFS('专业映射'!$B$5:$B$400,B12,'专业映射'!$D$5:$D$400,"SA")</x:f>
        <x:v>0</x:v>
      </x:c>
      <x:c r="F12" s="39" t="n">
        <x:f>COUNTIFS('专业映射'!$B$5:$B$400,B12,'专业映射'!$D$5:$D$400,"SB")</x:f>
        <x:v>0</x:v>
      </x:c>
      <x:c r="G12" s="39" t="n">
        <x:f>COUNTIFS('专业映射'!$B$5:$B$400,B12,'专业映射'!$D$5:$D$400,"SB-A")</x:f>
        <x:v>16</x:v>
      </x:c>
      <x:c r="H12" s="39" t="str">
        <x:f>IF(C12&gt;0,"已覆盖","待补充")</x:f>
        <x:v>已覆盖</x:v>
      </x:c>
    </x:row>
    <x:row r="13">
      <x:c r="A13" s="38" t="str">
        <x:v>080909T</x:v>
      </x:c>
      <x:c r="B13" s="38" t="str">
        <x:v>电子与计算机工程</x:v>
      </x:c>
      <x:c r="C13" s="39" t="n">
        <x:f>COUNTIF('专业映射'!$B$5:$B$400,B13)</x:f>
        <x:v>51</x:v>
      </x:c>
      <x:c r="D13" s="39" t="n">
        <x:f>COUNTIFS('专业映射'!$B$5:$B$400,B13,'专业映射'!$C$5:$C$400,"高")</x:f>
        <x:v>7</x:v>
      </x:c>
      <x:c r="E13" s="39" t="n">
        <x:f>COUNTIFS('专业映射'!$B$5:$B$400,B13,'专业映射'!$D$5:$D$400,"SA")</x:f>
        <x:v>17</x:v>
      </x:c>
      <x:c r="F13" s="39" t="n">
        <x:f>COUNTIFS('专业映射'!$B$5:$B$400,B13,'专业映射'!$D$5:$D$400,"SB")</x:f>
        <x:v>26</x:v>
      </x:c>
      <x:c r="G13" s="39" t="n">
        <x:f>COUNTIFS('专业映射'!$B$5:$B$400,B13,'专业映射'!$D$5:$D$400,"SB-A")</x:f>
        <x:v>8</x:v>
      </x:c>
      <x:c r="H13" s="39" t="str">
        <x:f>IF(C13&gt;0,"已覆盖","待补充")</x:f>
        <x:v>已覆盖</x:v>
      </x:c>
    </x:row>
    <x:row r="14">
      <x:c r="A14" s="38" t="str">
        <x:v>080910T</x:v>
      </x:c>
      <x:c r="B14" s="38" t="str">
        <x:v>数据科学与大数据技术</x:v>
      </x:c>
      <x:c r="C14" s="39" t="n">
        <x:f>COUNTIF('专业映射'!$B$5:$B$400,B14)</x:f>
        <x:v>23</x:v>
      </x:c>
      <x:c r="D14" s="39" t="n">
        <x:f>COUNTIFS('专业映射'!$B$5:$B$400,B14,'专业映射'!$C$5:$C$400,"高")</x:f>
        <x:v>5</x:v>
      </x:c>
      <x:c r="E14" s="39" t="n">
        <x:f>COUNTIFS('专业映射'!$B$5:$B$400,B14,'专业映射'!$D$5:$D$400,"SA")</x:f>
        <x:v>1</x:v>
      </x:c>
      <x:c r="F14" s="39" t="n">
        <x:f>COUNTIFS('专业映射'!$B$5:$B$400,B14,'专业映射'!$D$5:$D$400,"SB")</x:f>
        <x:v>3</x:v>
      </x:c>
      <x:c r="G14" s="39" t="n">
        <x:f>COUNTIFS('专业映射'!$B$5:$B$400,B14,'专业映射'!$D$5:$D$400,"SB-A")</x:f>
        <x:v>19</x:v>
      </x:c>
      <x:c r="H14" s="39" t="str">
        <x:f>IF(C14&gt;0,"已覆盖","待补充")</x:f>
        <x:v>已覆盖</x:v>
      </x:c>
    </x:row>
    <x:row r="15">
      <x:c r="A15" s="38" t="str">
        <x:v>080911T</x:v>
      </x:c>
      <x:c r="B15" s="38" t="str">
        <x:v>网络空间安全</x:v>
      </x:c>
      <x:c r="C15" s="39" t="n">
        <x:f>COUNTIF('专业映射'!$B$5:$B$400,B15)</x:f>
        <x:v>11</x:v>
      </x:c>
      <x:c r="D15" s="39" t="n">
        <x:f>COUNTIFS('专业映射'!$B$5:$B$400,B15,'专业映射'!$C$5:$C$400,"高")</x:f>
        <x:v>8</x:v>
      </x:c>
      <x:c r="E15" s="39" t="n">
        <x:f>COUNTIFS('专业映射'!$B$5:$B$400,B15,'专业映射'!$D$5:$D$400,"SA")</x:f>
        <x:v>4</x:v>
      </x:c>
      <x:c r="F15" s="39" t="n">
        <x:f>COUNTIFS('专业映射'!$B$5:$B$400,B15,'专业映射'!$D$5:$D$400,"SB")</x:f>
        <x:v>6</x:v>
      </x:c>
      <x:c r="G15" s="39" t="n">
        <x:f>COUNTIFS('专业映射'!$B$5:$B$400,B15,'专业映射'!$D$5:$D$400,"SB-A")</x:f>
        <x:v>1</x:v>
      </x:c>
      <x:c r="H15" s="39" t="str">
        <x:f>IF(C15&gt;0,"已覆盖","待补充")</x:f>
        <x:v>已覆盖</x:v>
      </x:c>
    </x:row>
    <x:row r="16">
      <x:c r="A16" s="38" t="str">
        <x:v>080912T</x:v>
      </x:c>
      <x:c r="B16" s="38" t="str">
        <x:v>新媒体技术</x:v>
      </x:c>
      <x:c r="C16" s="39" t="n">
        <x:f>COUNTIF('专业映射'!$B$5:$B$400,B16)</x:f>
        <x:v>41</x:v>
      </x:c>
      <x:c r="D16" s="39" t="n">
        <x:f>COUNTIFS('专业映射'!$B$5:$B$400,B16,'专业映射'!$C$5:$C$400,"高")</x:f>
        <x:v>6</x:v>
      </x:c>
      <x:c r="E16" s="39" t="n">
        <x:f>COUNTIFS('专业映射'!$B$5:$B$400,B16,'专业映射'!$D$5:$D$400,"SA")</x:f>
        <x:v>19</x:v>
      </x:c>
      <x:c r="F16" s="39" t="n">
        <x:f>COUNTIFS('专业映射'!$B$5:$B$400,B16,'专业映射'!$D$5:$D$400,"SB")</x:f>
        <x:v>18</x:v>
      </x:c>
      <x:c r="G16" s="39" t="n">
        <x:f>COUNTIFS('专业映射'!$B$5:$B$400,B16,'专业映射'!$D$5:$D$400,"SB-A")</x:f>
        <x:v>4</x:v>
      </x:c>
      <x:c r="H16" s="39" t="str">
        <x:f>IF(C16&gt;0,"已覆盖","待补充")</x:f>
        <x:v>已覆盖</x:v>
      </x:c>
    </x:row>
    <x:row r="17">
      <x:c r="A17" s="38" t="str">
        <x:v>080913T</x:v>
      </x:c>
      <x:c r="B17" s="38" t="str">
        <x:v>电影制作</x:v>
      </x:c>
      <x:c r="C17" s="39" t="n">
        <x:f>COUNTIF('专业映射'!$B$5:$B$400,B17)</x:f>
        <x:v>10</x:v>
      </x:c>
      <x:c r="D17" s="39" t="n">
        <x:f>COUNTIFS('专业映射'!$B$5:$B$400,B17,'专业映射'!$C$5:$C$400,"高")</x:f>
        <x:v>2</x:v>
      </x:c>
      <x:c r="E17" s="39" t="n">
        <x:f>COUNTIFS('专业映射'!$B$5:$B$400,B17,'专业映射'!$D$5:$D$400,"SA")</x:f>
        <x:v>6</x:v>
      </x:c>
      <x:c r="F17" s="39" t="n">
        <x:f>COUNTIFS('专业映射'!$B$5:$B$400,B17,'专业映射'!$D$5:$D$400,"SB")</x:f>
        <x:v>3</x:v>
      </x:c>
      <x:c r="G17" s="39" t="n">
        <x:f>COUNTIFS('专业映射'!$B$5:$B$400,B17,'专业映射'!$D$5:$D$400,"SB-A")</x:f>
        <x:v>1</x:v>
      </x:c>
      <x:c r="H17" s="39" t="str">
        <x:f>IF(C17&gt;0,"已覆盖","待补充")</x:f>
        <x:v>已覆盖</x:v>
      </x:c>
    </x:row>
    <x:row r="18">
      <x:c r="A18" s="38" t="str">
        <x:v>080914T</x:v>
      </x:c>
      <x:c r="B18" s="38" t="str">
        <x:v>保密管理</x:v>
      </x:c>
      <x:c r="C18" s="39" t="n">
        <x:f>COUNTIF('专业映射'!$B$5:$B$400,B18)</x:f>
        <x:v>11</x:v>
      </x:c>
      <x:c r="D18" s="39" t="n">
        <x:f>COUNTIFS('专业映射'!$B$5:$B$400,B18,'专业映射'!$C$5:$C$400,"高")</x:f>
        <x:v>8</x:v>
      </x:c>
      <x:c r="E18" s="39" t="n">
        <x:f>COUNTIFS('专业映射'!$B$5:$B$400,B18,'专业映射'!$D$5:$D$400,"SA")</x:f>
        <x:v>4</x:v>
      </x:c>
      <x:c r="F18" s="39" t="n">
        <x:f>COUNTIFS('专业映射'!$B$5:$B$400,B18,'专业映射'!$D$5:$D$400,"SB")</x:f>
        <x:v>6</x:v>
      </x:c>
      <x:c r="G18" s="39" t="n">
        <x:f>COUNTIFS('专业映射'!$B$5:$B$400,B18,'专业映射'!$D$5:$D$400,"SB-A")</x:f>
        <x:v>1</x:v>
      </x:c>
      <x:c r="H18" s="39" t="str">
        <x:f>IF(C18&gt;0,"已覆盖","待补充")</x:f>
        <x:v>已覆盖</x:v>
      </x:c>
    </x:row>
  </x:sheetData>
  <x:mergeCells>
    <x:mergeCell ref="A1:H1"/>
    <x:mergeCell ref="A2:H2"/>
  </x:mergeCells>
  <x:conditionalFormatting sqref="H5:H18">
    <x:cfRule type="cellIs" dxfId="7" priority="1" operator="equal">
      <x:formula>"已覆盖"</x:formula>
    </x:cfRule>
  </x:conditionalFormatting>
  <x:pageMargins left="0.7" right="0.7" top="0.75" bottom="0.75" header="0.3" footer="0.3"/>
  <x:drawing xmlns:r="http://schemas.openxmlformats.org/officeDocument/2006/relationships" r:id="R03df75558dcf4ec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13" hidden="0" customWidth="1"/>
    <x:col min="4" max="4" width="13" hidden="0" customWidth="1"/>
    <x:col min="5" max="5" width="30" hidden="0" customWidth="1"/>
    <x:col min="6" max="6" width="20" hidden="0" customWidth="1"/>
  </x:cols>
  <x:sheetData>
    <x:row r="1">
      <x:c r="A1" s="17" t="str">
        <x:v>0809 计算机类｜Skill—专业映射明细</x:v>
      </x:c>
      <x:c r="B1" s="17"/>
      <x:c r="C1" s="17"/>
      <x:c r="D1" s="17"/>
      <x:c r="E1" s="17"/>
      <x:c r="F1" s="17"/>
    </x:row>
    <x:row r="2">
      <x:c r="A2" s="5" t="str">
        <x:v>一项 Skill 可映射多个专业；本表为“专业覆盖”公式的可审计数据源。</x:v>
      </x:c>
      <x:c r="B2" s="5"/>
      <x:c r="C2" s="5"/>
      <x:c r="D2" s="5"/>
      <x:c r="E2" s="5"/>
      <x:c r="F2" s="5"/>
    </x:row>
    <x:row r="4">
      <x:c r="A4" s="18" t="str">
        <x:v>Skill ID</x:v>
      </x:c>
      <x:c r="B4" s="18" t="str">
        <x:v>专业名称</x:v>
      </x:c>
      <x:c r="C4" s="18" t="str">
        <x:v>优先级</x:v>
      </x:c>
      <x:c r="D4" s="18" t="str">
        <x:v>安全等级</x:v>
      </x:c>
      <x:c r="E4" s="18" t="str">
        <x:v>Skill名称</x:v>
      </x:c>
      <x:c r="F4" s="18" t="str">
        <x:v>能力群</x:v>
      </x:c>
    </x:row>
    <x:row r="5">
      <x:c r="A5" s="19" t="str">
        <x:v>DISC-0809-0001</x:v>
      </x:c>
      <x:c r="B5" s="19" t="str">
        <x:v>计算机科学与技术</x:v>
      </x:c>
      <x:c r="C5" s="19" t="str">
        <x:v>高</x:v>
      </x:c>
      <x:c r="D5" s="19" t="str">
        <x:v>SB</x:v>
      </x:c>
      <x:c r="E5" s="19" t="str">
        <x:v>计算资源侦测</x:v>
      </x:c>
      <x:c r="F5" s="19" t="str">
        <x:v>A 计算基础</x:v>
      </x:c>
    </x:row>
    <x:row r="6">
      <x:c r="A6" s="19" t="str">
        <x:v>DISC-0809-0001</x:v>
      </x:c>
      <x:c r="B6" s="19" t="str">
        <x:v>软件工程</x:v>
      </x:c>
      <x:c r="C6" s="19" t="str">
        <x:v>高</x:v>
      </x:c>
      <x:c r="D6" s="19" t="str">
        <x:v>SB</x:v>
      </x:c>
      <x:c r="E6" s="19" t="str">
        <x:v>计算资源侦测</x:v>
      </x:c>
      <x:c r="F6" s="19" t="str">
        <x:v>A 计算基础</x:v>
      </x:c>
    </x:row>
    <x:row r="7">
      <x:c r="A7" s="19" t="str">
        <x:v>DISC-0809-0001</x:v>
      </x:c>
      <x:c r="B7" s="19" t="str">
        <x:v>电子与计算机工程</x:v>
      </x:c>
      <x:c r="C7" s="19" t="str">
        <x:v>高</x:v>
      </x:c>
      <x:c r="D7" s="19" t="str">
        <x:v>SB</x:v>
      </x:c>
      <x:c r="E7" s="19" t="str">
        <x:v>计算资源侦测</x:v>
      </x:c>
      <x:c r="F7" s="19" t="str">
        <x:v>A 计算基础</x:v>
      </x:c>
    </x:row>
    <x:row r="8">
      <x:c r="A8" s="19" t="str">
        <x:v>DISC-0809-0001</x:v>
      </x:c>
      <x:c r="B8" s="19" t="str">
        <x:v>智能科学与技术</x:v>
      </x:c>
      <x:c r="C8" s="19" t="str">
        <x:v>高</x:v>
      </x:c>
      <x:c r="D8" s="19" t="str">
        <x:v>SB</x:v>
      </x:c>
      <x:c r="E8" s="19" t="str">
        <x:v>计算资源侦测</x:v>
      </x:c>
      <x:c r="F8" s="19" t="str">
        <x:v>A 计算基础</x:v>
      </x:c>
    </x:row>
    <x:row r="9">
      <x:c r="A9" s="19" t="str">
        <x:v>DISC-0809-0001</x:v>
      </x:c>
      <x:c r="B9" s="19" t="str">
        <x:v>数据科学与大数据技术</x:v>
      </x:c>
      <x:c r="C9" s="19" t="str">
        <x:v>高</x:v>
      </x:c>
      <x:c r="D9" s="19" t="str">
        <x:v>SB</x:v>
      </x:c>
      <x:c r="E9" s="19" t="str">
        <x:v>计算资源侦测</x:v>
      </x:c>
      <x:c r="F9" s="19" t="str">
        <x:v>A 计算基础</x:v>
      </x:c>
    </x:row>
    <x:row r="10">
      <x:c r="A10" s="19" t="str">
        <x:v>DISC-0809-0002</x:v>
      </x:c>
      <x:c r="B10" s="19" t="str">
        <x:v>计算机科学与技术</x:v>
      </x:c>
      <x:c r="C10" s="19" t="str">
        <x:v>中</x:v>
      </x:c>
      <x:c r="D10" s="19" t="str">
        <x:v>SB-A</x:v>
      </x:c>
      <x:c r="E10" s="19" t="str">
        <x:v>NetworkX 图网络分析</x:v>
      </x:c>
      <x:c r="F10" s="19" t="str">
        <x:v>A 计算基础</x:v>
      </x:c>
    </x:row>
    <x:row r="11">
      <x:c r="A11" s="19" t="str">
        <x:v>DISC-0809-0002</x:v>
      </x:c>
      <x:c r="B11" s="19" t="str">
        <x:v>软件工程</x:v>
      </x:c>
      <x:c r="C11" s="19" t="str">
        <x:v>中</x:v>
      </x:c>
      <x:c r="D11" s="19" t="str">
        <x:v>SB-A</x:v>
      </x:c>
      <x:c r="E11" s="19" t="str">
        <x:v>NetworkX 图网络分析</x:v>
      </x:c>
      <x:c r="F11" s="19" t="str">
        <x:v>A 计算基础</x:v>
      </x:c>
    </x:row>
    <x:row r="12">
      <x:c r="A12" s="19" t="str">
        <x:v>DISC-0809-0002</x:v>
      </x:c>
      <x:c r="B12" s="19" t="str">
        <x:v>电子与计算机工程</x:v>
      </x:c>
      <x:c r="C12" s="19" t="str">
        <x:v>中</x:v>
      </x:c>
      <x:c r="D12" s="19" t="str">
        <x:v>SB-A</x:v>
      </x:c>
      <x:c r="E12" s="19" t="str">
        <x:v>NetworkX 图网络分析</x:v>
      </x:c>
      <x:c r="F12" s="19" t="str">
        <x:v>A 计算基础</x:v>
      </x:c>
    </x:row>
    <x:row r="13">
      <x:c r="A13" s="19" t="str">
        <x:v>DISC-0809-0002</x:v>
      </x:c>
      <x:c r="B13" s="19" t="str">
        <x:v>智能科学与技术</x:v>
      </x:c>
      <x:c r="C13" s="19" t="str">
        <x:v>中</x:v>
      </x:c>
      <x:c r="D13" s="19" t="str">
        <x:v>SB-A</x:v>
      </x:c>
      <x:c r="E13" s="19" t="str">
        <x:v>NetworkX 图网络分析</x:v>
      </x:c>
      <x:c r="F13" s="19" t="str">
        <x:v>A 计算基础</x:v>
      </x:c>
    </x:row>
    <x:row r="14">
      <x:c r="A14" s="19" t="str">
        <x:v>DISC-0809-0002</x:v>
      </x:c>
      <x:c r="B14" s="19" t="str">
        <x:v>数据科学与大数据技术</x:v>
      </x:c>
      <x:c r="C14" s="19" t="str">
        <x:v>中</x:v>
      </x:c>
      <x:c r="D14" s="19" t="str">
        <x:v>SB-A</x:v>
      </x:c>
      <x:c r="E14" s="19" t="str">
        <x:v>NetworkX 图网络分析</x:v>
      </x:c>
      <x:c r="F14" s="19" t="str">
        <x:v>A 计算基础</x:v>
      </x:c>
    </x:row>
    <x:row r="15">
      <x:c r="A15" s="19" t="str">
        <x:v>DISC-0809-0003</x:v>
      </x:c>
      <x:c r="B15" s="19" t="str">
        <x:v>计算机科学与技术</x:v>
      </x:c>
      <x:c r="C15" s="19" t="str">
        <x:v>中</x:v>
      </x:c>
      <x:c r="D15" s="19" t="str">
        <x:v>SB-A</x:v>
      </x:c>
      <x:c r="E15" s="19" t="str">
        <x:v>SimPy 离散事件仿真</x:v>
      </x:c>
      <x:c r="F15" s="19" t="str">
        <x:v>A 计算基础</x:v>
      </x:c>
    </x:row>
    <x:row r="16">
      <x:c r="A16" s="19" t="str">
        <x:v>DISC-0809-0003</x:v>
      </x:c>
      <x:c r="B16" s="19" t="str">
        <x:v>软件工程</x:v>
      </x:c>
      <x:c r="C16" s="19" t="str">
        <x:v>中</x:v>
      </x:c>
      <x:c r="D16" s="19" t="str">
        <x:v>SB-A</x:v>
      </x:c>
      <x:c r="E16" s="19" t="str">
        <x:v>SimPy 离散事件仿真</x:v>
      </x:c>
      <x:c r="F16" s="19" t="str">
        <x:v>A 计算基础</x:v>
      </x:c>
    </x:row>
    <x:row r="17">
      <x:c r="A17" s="19" t="str">
        <x:v>DISC-0809-0003</x:v>
      </x:c>
      <x:c r="B17" s="19" t="str">
        <x:v>电子与计算机工程</x:v>
      </x:c>
      <x:c r="C17" s="19" t="str">
        <x:v>中</x:v>
      </x:c>
      <x:c r="D17" s="19" t="str">
        <x:v>SB-A</x:v>
      </x:c>
      <x:c r="E17" s="19" t="str">
        <x:v>SimPy 离散事件仿真</x:v>
      </x:c>
      <x:c r="F17" s="19" t="str">
        <x:v>A 计算基础</x:v>
      </x:c>
    </x:row>
    <x:row r="18">
      <x:c r="A18" s="19" t="str">
        <x:v>DISC-0809-0003</x:v>
      </x:c>
      <x:c r="B18" s="19" t="str">
        <x:v>智能科学与技术</x:v>
      </x:c>
      <x:c r="C18" s="19" t="str">
        <x:v>中</x:v>
      </x:c>
      <x:c r="D18" s="19" t="str">
        <x:v>SB-A</x:v>
      </x:c>
      <x:c r="E18" s="19" t="str">
        <x:v>SimPy 离散事件仿真</x:v>
      </x:c>
      <x:c r="F18" s="19" t="str">
        <x:v>A 计算基础</x:v>
      </x:c>
    </x:row>
    <x:row r="19">
      <x:c r="A19" s="19" t="str">
        <x:v>DISC-0809-0003</x:v>
      </x:c>
      <x:c r="B19" s="19" t="str">
        <x:v>数据科学与大数据技术</x:v>
      </x:c>
      <x:c r="C19" s="19" t="str">
        <x:v>中</x:v>
      </x:c>
      <x:c r="D19" s="19" t="str">
        <x:v>SB-A</x:v>
      </x:c>
      <x:c r="E19" s="19" t="str">
        <x:v>SimPy 离散事件仿真</x:v>
      </x:c>
      <x:c r="F19" s="19" t="str">
        <x:v>A 计算基础</x:v>
      </x:c>
    </x:row>
    <x:row r="20">
      <x:c r="A20" s="19" t="str">
        <x:v>DISC-0809-0004</x:v>
      </x:c>
      <x:c r="B20" s="19" t="str">
        <x:v>计算机科学与技术</x:v>
      </x:c>
      <x:c r="C20" s="19" t="str">
        <x:v>中</x:v>
      </x:c>
      <x:c r="D20" s="19" t="str">
        <x:v>SB-A</x:v>
      </x:c>
      <x:c r="E20" s="19" t="str">
        <x:v>SymPy 符号计算</x:v>
      </x:c>
      <x:c r="F20" s="19" t="str">
        <x:v>A 计算基础</x:v>
      </x:c>
    </x:row>
    <x:row r="21">
      <x:c r="A21" s="19" t="str">
        <x:v>DISC-0809-0004</x:v>
      </x:c>
      <x:c r="B21" s="19" t="str">
        <x:v>软件工程</x:v>
      </x:c>
      <x:c r="C21" s="19" t="str">
        <x:v>中</x:v>
      </x:c>
      <x:c r="D21" s="19" t="str">
        <x:v>SB-A</x:v>
      </x:c>
      <x:c r="E21" s="19" t="str">
        <x:v>SymPy 符号计算</x:v>
      </x:c>
      <x:c r="F21" s="19" t="str">
        <x:v>A 计算基础</x:v>
      </x:c>
    </x:row>
    <x:row r="22">
      <x:c r="A22" s="19" t="str">
        <x:v>DISC-0809-0004</x:v>
      </x:c>
      <x:c r="B22" s="19" t="str">
        <x:v>电子与计算机工程</x:v>
      </x:c>
      <x:c r="C22" s="19" t="str">
        <x:v>中</x:v>
      </x:c>
      <x:c r="D22" s="19" t="str">
        <x:v>SB-A</x:v>
      </x:c>
      <x:c r="E22" s="19" t="str">
        <x:v>SymPy 符号计算</x:v>
      </x:c>
      <x:c r="F22" s="19" t="str">
        <x:v>A 计算基础</x:v>
      </x:c>
    </x:row>
    <x:row r="23">
      <x:c r="A23" s="19" t="str">
        <x:v>DISC-0809-0004</x:v>
      </x:c>
      <x:c r="B23" s="19" t="str">
        <x:v>智能科学与技术</x:v>
      </x:c>
      <x:c r="C23" s="19" t="str">
        <x:v>中</x:v>
      </x:c>
      <x:c r="D23" s="19" t="str">
        <x:v>SB-A</x:v>
      </x:c>
      <x:c r="E23" s="19" t="str">
        <x:v>SymPy 符号计算</x:v>
      </x:c>
      <x:c r="F23" s="19" t="str">
        <x:v>A 计算基础</x:v>
      </x:c>
    </x:row>
    <x:row r="24">
      <x:c r="A24" s="19" t="str">
        <x:v>DISC-0809-0004</x:v>
      </x:c>
      <x:c r="B24" s="19" t="str">
        <x:v>数据科学与大数据技术</x:v>
      </x:c>
      <x:c r="C24" s="19" t="str">
        <x:v>中</x:v>
      </x:c>
      <x:c r="D24" s="19" t="str">
        <x:v>SB-A</x:v>
      </x:c>
      <x:c r="E24" s="19" t="str">
        <x:v>SymPy 符号计算</x:v>
      </x:c>
      <x:c r="F24" s="19" t="str">
        <x:v>A 计算基础</x:v>
      </x:c>
    </x:row>
    <x:row r="25">
      <x:c r="A25" s="19" t="str">
        <x:v>DISC-0809-0005</x:v>
      </x:c>
      <x:c r="B25" s="19" t="str">
        <x:v>计算机科学与技术</x:v>
      </x:c>
      <x:c r="C25" s="19" t="str">
        <x:v>中</x:v>
      </x:c>
      <x:c r="D25" s="19" t="str">
        <x:v>SB</x:v>
      </x:c>
      <x:c r="E25" s="19" t="str">
        <x:v>性能分析与优化</x:v>
      </x:c>
      <x:c r="F25" s="19" t="str">
        <x:v>A 计算基础</x:v>
      </x:c>
    </x:row>
    <x:row r="26">
      <x:c r="A26" s="19" t="str">
        <x:v>DISC-0809-0005</x:v>
      </x:c>
      <x:c r="B26" s="19" t="str">
        <x:v>软件工程</x:v>
      </x:c>
      <x:c r="C26" s="19" t="str">
        <x:v>中</x:v>
      </x:c>
      <x:c r="D26" s="19" t="str">
        <x:v>SB</x:v>
      </x:c>
      <x:c r="E26" s="19" t="str">
        <x:v>性能分析与优化</x:v>
      </x:c>
      <x:c r="F26" s="19" t="str">
        <x:v>A 计算基础</x:v>
      </x:c>
    </x:row>
    <x:row r="27">
      <x:c r="A27" s="19" t="str">
        <x:v>DISC-0809-0005</x:v>
      </x:c>
      <x:c r="B27" s="19" t="str">
        <x:v>电子与计算机工程</x:v>
      </x:c>
      <x:c r="C27" s="19" t="str">
        <x:v>中</x:v>
      </x:c>
      <x:c r="D27" s="19" t="str">
        <x:v>SB</x:v>
      </x:c>
      <x:c r="E27" s="19" t="str">
        <x:v>性能分析与优化</x:v>
      </x:c>
      <x:c r="F27" s="19" t="str">
        <x:v>A 计算基础</x:v>
      </x:c>
    </x:row>
    <x:row r="28">
      <x:c r="A28" s="19" t="str">
        <x:v>DISC-0809-0005</x:v>
      </x:c>
      <x:c r="B28" s="19" t="str">
        <x:v>智能科学与技术</x:v>
      </x:c>
      <x:c r="C28" s="19" t="str">
        <x:v>中</x:v>
      </x:c>
      <x:c r="D28" s="19" t="str">
        <x:v>SB</x:v>
      </x:c>
      <x:c r="E28" s="19" t="str">
        <x:v>性能分析与优化</x:v>
      </x:c>
      <x:c r="F28" s="19" t="str">
        <x:v>A 计算基础</x:v>
      </x:c>
    </x:row>
    <x:row r="29">
      <x:c r="A29" s="19" t="str">
        <x:v>DISC-0809-0005</x:v>
      </x:c>
      <x:c r="B29" s="19" t="str">
        <x:v>数据科学与大数据技术</x:v>
      </x:c>
      <x:c r="C29" s="19" t="str">
        <x:v>中</x:v>
      </x:c>
      <x:c r="D29" s="19" t="str">
        <x:v>SB</x:v>
      </x:c>
      <x:c r="E29" s="19" t="str">
        <x:v>性能分析与优化</x:v>
      </x:c>
      <x:c r="F29" s="19" t="str">
        <x:v>A 计算基础</x:v>
      </x:c>
    </x:row>
    <x:row r="30">
      <x:c r="A30" s="19" t="str">
        <x:v>DISC-0809-0006</x:v>
      </x:c>
      <x:c r="B30" s="19" t="str">
        <x:v>计算机科学与技术</x:v>
      </x:c>
      <x:c r="C30" s="19" t="str">
        <x:v>中</x:v>
      </x:c>
      <x:c r="D30" s="19" t="str">
        <x:v>SB</x:v>
      </x:c>
      <x:c r="E30" s="19" t="str">
        <x:v>Lean 形式化证明</x:v>
      </x:c>
      <x:c r="F30" s="19" t="str">
        <x:v>A 计算基础</x:v>
      </x:c>
    </x:row>
    <x:row r="31">
      <x:c r="A31" s="19" t="str">
        <x:v>DISC-0809-0006</x:v>
      </x:c>
      <x:c r="B31" s="19" t="str">
        <x:v>软件工程</x:v>
      </x:c>
      <x:c r="C31" s="19" t="str">
        <x:v>中</x:v>
      </x:c>
      <x:c r="D31" s="19" t="str">
        <x:v>SB</x:v>
      </x:c>
      <x:c r="E31" s="19" t="str">
        <x:v>Lean 形式化证明</x:v>
      </x:c>
      <x:c r="F31" s="19" t="str">
        <x:v>A 计算基础</x:v>
      </x:c>
    </x:row>
    <x:row r="32">
      <x:c r="A32" s="19" t="str">
        <x:v>DISC-0809-0006</x:v>
      </x:c>
      <x:c r="B32" s="19" t="str">
        <x:v>电子与计算机工程</x:v>
      </x:c>
      <x:c r="C32" s="19" t="str">
        <x:v>中</x:v>
      </x:c>
      <x:c r="D32" s="19" t="str">
        <x:v>SB</x:v>
      </x:c>
      <x:c r="E32" s="19" t="str">
        <x:v>Lean 形式化证明</x:v>
      </x:c>
      <x:c r="F32" s="19" t="str">
        <x:v>A 计算基础</x:v>
      </x:c>
    </x:row>
    <x:row r="33">
      <x:c r="A33" s="19" t="str">
        <x:v>DISC-0809-0006</x:v>
      </x:c>
      <x:c r="B33" s="19" t="str">
        <x:v>智能科学与技术</x:v>
      </x:c>
      <x:c r="C33" s="19" t="str">
        <x:v>中</x:v>
      </x:c>
      <x:c r="D33" s="19" t="str">
        <x:v>SB</x:v>
      </x:c>
      <x:c r="E33" s="19" t="str">
        <x:v>Lean 形式化证明</x:v>
      </x:c>
      <x:c r="F33" s="19" t="str">
        <x:v>A 计算基础</x:v>
      </x:c>
    </x:row>
    <x:row r="34">
      <x:c r="A34" s="19" t="str">
        <x:v>DISC-0809-0006</x:v>
      </x:c>
      <x:c r="B34" s="19" t="str">
        <x:v>数据科学与大数据技术</x:v>
      </x:c>
      <x:c r="C34" s="19" t="str">
        <x:v>中</x:v>
      </x:c>
      <x:c r="D34" s="19" t="str">
        <x:v>SB</x:v>
      </x:c>
      <x:c r="E34" s="19" t="str">
        <x:v>Lean 形式化证明</x:v>
      </x:c>
      <x:c r="F34" s="19" t="str">
        <x:v>A 计算基础</x:v>
      </x:c>
    </x:row>
    <x:row r="35">
      <x:c r="A35" s="19" t="str">
        <x:v>DISC-0809-0007</x:v>
      </x:c>
      <x:c r="B35" s="19" t="str">
        <x:v>计算机科学与技术</x:v>
      </x:c>
      <x:c r="C35" s="19" t="str">
        <x:v>中</x:v>
      </x:c>
      <x:c r="D35" s="19" t="str">
        <x:v>SA</x:v>
      </x:c>
      <x:c r="E35" s="19" t="str">
        <x:v>Mathlib 代码审查</x:v>
      </x:c>
      <x:c r="F35" s="19" t="str">
        <x:v>A 计算基础</x:v>
      </x:c>
    </x:row>
    <x:row r="36">
      <x:c r="A36" s="19" t="str">
        <x:v>DISC-0809-0007</x:v>
      </x:c>
      <x:c r="B36" s="19" t="str">
        <x:v>软件工程</x:v>
      </x:c>
      <x:c r="C36" s="19" t="str">
        <x:v>中</x:v>
      </x:c>
      <x:c r="D36" s="19" t="str">
        <x:v>SA</x:v>
      </x:c>
      <x:c r="E36" s="19" t="str">
        <x:v>Mathlib 代码审查</x:v>
      </x:c>
      <x:c r="F36" s="19" t="str">
        <x:v>A 计算基础</x:v>
      </x:c>
    </x:row>
    <x:row r="37">
      <x:c r="A37" s="19" t="str">
        <x:v>DISC-0809-0007</x:v>
      </x:c>
      <x:c r="B37" s="19" t="str">
        <x:v>电子与计算机工程</x:v>
      </x:c>
      <x:c r="C37" s="19" t="str">
        <x:v>中</x:v>
      </x:c>
      <x:c r="D37" s="19" t="str">
        <x:v>SA</x:v>
      </x:c>
      <x:c r="E37" s="19" t="str">
        <x:v>Mathlib 代码审查</x:v>
      </x:c>
      <x:c r="F37" s="19" t="str">
        <x:v>A 计算基础</x:v>
      </x:c>
    </x:row>
    <x:row r="38">
      <x:c r="A38" s="19" t="str">
        <x:v>DISC-0809-0007</x:v>
      </x:c>
      <x:c r="B38" s="19" t="str">
        <x:v>智能科学与技术</x:v>
      </x:c>
      <x:c r="C38" s="19" t="str">
        <x:v>中</x:v>
      </x:c>
      <x:c r="D38" s="19" t="str">
        <x:v>SA</x:v>
      </x:c>
      <x:c r="E38" s="19" t="str">
        <x:v>Mathlib 代码审查</x:v>
      </x:c>
      <x:c r="F38" s="19" t="str">
        <x:v>A 计算基础</x:v>
      </x:c>
    </x:row>
    <x:row r="39">
      <x:c r="A39" s="19" t="str">
        <x:v>DISC-0809-0007</x:v>
      </x:c>
      <x:c r="B39" s="19" t="str">
        <x:v>数据科学与大数据技术</x:v>
      </x:c>
      <x:c r="C39" s="19" t="str">
        <x:v>中</x:v>
      </x:c>
      <x:c r="D39" s="19" t="str">
        <x:v>SA</x:v>
      </x:c>
      <x:c r="E39" s="19" t="str">
        <x:v>Mathlib 代码审查</x:v>
      </x:c>
      <x:c r="F39" s="19" t="str">
        <x:v>A 计算基础</x:v>
      </x:c>
    </x:row>
    <x:row r="40">
      <x:c r="A40" s="19" t="str">
        <x:v>DISC-0809-0008</x:v>
      </x:c>
      <x:c r="B40" s="19" t="str">
        <x:v>计算机科学与技术</x:v>
      </x:c>
      <x:c r="C40" s="19" t="str">
        <x:v>中</x:v>
      </x:c>
      <x:c r="D40" s="19" t="str">
        <x:v>SA</x:v>
      </x:c>
      <x:c r="E40" s="19" t="str">
        <x:v>API 文档生成</x:v>
      </x:c>
      <x:c r="F40" s="19" t="str">
        <x:v>B 软件工程</x:v>
      </x:c>
    </x:row>
    <x:row r="41">
      <x:c r="A41" s="19" t="str">
        <x:v>DISC-0809-0008</x:v>
      </x:c>
      <x:c r="B41" s="19" t="str">
        <x:v>软件工程</x:v>
      </x:c>
      <x:c r="C41" s="19" t="str">
        <x:v>中</x:v>
      </x:c>
      <x:c r="D41" s="19" t="str">
        <x:v>SA</x:v>
      </x:c>
      <x:c r="E41" s="19" t="str">
        <x:v>API 文档生成</x:v>
      </x:c>
      <x:c r="F41" s="19" t="str">
        <x:v>B 软件工程</x:v>
      </x:c>
    </x:row>
    <x:row r="42">
      <x:c r="A42" s="19" t="str">
        <x:v>DISC-0809-0008</x:v>
      </x:c>
      <x:c r="B42" s="19" t="str">
        <x:v>网络工程</x:v>
      </x:c>
      <x:c r="C42" s="19" t="str">
        <x:v>中</x:v>
      </x:c>
      <x:c r="D42" s="19" t="str">
        <x:v>SA</x:v>
      </x:c>
      <x:c r="E42" s="19" t="str">
        <x:v>API 文档生成</x:v>
      </x:c>
      <x:c r="F42" s="19" t="str">
        <x:v>B 软件工程</x:v>
      </x:c>
    </x:row>
    <x:row r="43">
      <x:c r="A43" s="19" t="str">
        <x:v>DISC-0809-0008</x:v>
      </x:c>
      <x:c r="B43" s="19" t="str">
        <x:v>电子与计算机工程</x:v>
      </x:c>
      <x:c r="C43" s="19" t="str">
        <x:v>中</x:v>
      </x:c>
      <x:c r="D43" s="19" t="str">
        <x:v>SA</x:v>
      </x:c>
      <x:c r="E43" s="19" t="str">
        <x:v>API 文档生成</x:v>
      </x:c>
      <x:c r="F43" s="19" t="str">
        <x:v>B 软件工程</x:v>
      </x:c>
    </x:row>
    <x:row r="44">
      <x:c r="A44" s="19" t="str">
        <x:v>DISC-0809-0008</x:v>
      </x:c>
      <x:c r="B44" s="19" t="str">
        <x:v>新媒体技术</x:v>
      </x:c>
      <x:c r="C44" s="19" t="str">
        <x:v>中</x:v>
      </x:c>
      <x:c r="D44" s="19" t="str">
        <x:v>SA</x:v>
      </x:c>
      <x:c r="E44" s="19" t="str">
        <x:v>API 文档生成</x:v>
      </x:c>
      <x:c r="F44" s="19" t="str">
        <x:v>B 软件工程</x:v>
      </x:c>
    </x:row>
    <x:row r="45">
      <x:c r="A45" s="19" t="str">
        <x:v>DISC-0809-0009</x:v>
      </x:c>
      <x:c r="B45" s="19" t="str">
        <x:v>计算机科学与技术</x:v>
      </x:c>
      <x:c r="C45" s="19" t="str">
        <x:v>中</x:v>
      </x:c>
      <x:c r="D45" s="19" t="str">
        <x:v>SA</x:v>
      </x:c>
      <x:c r="E45" s="19" t="str">
        <x:v>代码审查</x:v>
      </x:c>
      <x:c r="F45" s="19" t="str">
        <x:v>B 软件工程</x:v>
      </x:c>
    </x:row>
    <x:row r="46">
      <x:c r="A46" s="19" t="str">
        <x:v>DISC-0809-0009</x:v>
      </x:c>
      <x:c r="B46" s="19" t="str">
        <x:v>软件工程</x:v>
      </x:c>
      <x:c r="C46" s="19" t="str">
        <x:v>中</x:v>
      </x:c>
      <x:c r="D46" s="19" t="str">
        <x:v>SA</x:v>
      </x:c>
      <x:c r="E46" s="19" t="str">
        <x:v>代码审查</x:v>
      </x:c>
      <x:c r="F46" s="19" t="str">
        <x:v>B 软件工程</x:v>
      </x:c>
    </x:row>
    <x:row r="47">
      <x:c r="A47" s="19" t="str">
        <x:v>DISC-0809-0009</x:v>
      </x:c>
      <x:c r="B47" s="19" t="str">
        <x:v>网络工程</x:v>
      </x:c>
      <x:c r="C47" s="19" t="str">
        <x:v>中</x:v>
      </x:c>
      <x:c r="D47" s="19" t="str">
        <x:v>SA</x:v>
      </x:c>
      <x:c r="E47" s="19" t="str">
        <x:v>代码审查</x:v>
      </x:c>
      <x:c r="F47" s="19" t="str">
        <x:v>B 软件工程</x:v>
      </x:c>
    </x:row>
    <x:row r="48">
      <x:c r="A48" s="19" t="str">
        <x:v>DISC-0809-0009</x:v>
      </x:c>
      <x:c r="B48" s="19" t="str">
        <x:v>电子与计算机工程</x:v>
      </x:c>
      <x:c r="C48" s="19" t="str">
        <x:v>中</x:v>
      </x:c>
      <x:c r="D48" s="19" t="str">
        <x:v>SA</x:v>
      </x:c>
      <x:c r="E48" s="19" t="str">
        <x:v>代码审查</x:v>
      </x:c>
      <x:c r="F48" s="19" t="str">
        <x:v>B 软件工程</x:v>
      </x:c>
    </x:row>
    <x:row r="49">
      <x:c r="A49" s="19" t="str">
        <x:v>DISC-0809-0009</x:v>
      </x:c>
      <x:c r="B49" s="19" t="str">
        <x:v>新媒体技术</x:v>
      </x:c>
      <x:c r="C49" s="19" t="str">
        <x:v>中</x:v>
      </x:c>
      <x:c r="D49" s="19" t="str">
        <x:v>SA</x:v>
      </x:c>
      <x:c r="E49" s="19" t="str">
        <x:v>代码审查</x:v>
      </x:c>
      <x:c r="F49" s="19" t="str">
        <x:v>B 软件工程</x:v>
      </x:c>
    </x:row>
    <x:row r="50">
      <x:c r="A50" s="19" t="str">
        <x:v>DISC-0809-0010</x:v>
      </x:c>
      <x:c r="B50" s="19" t="str">
        <x:v>计算机科学与技术</x:v>
      </x:c>
      <x:c r="C50" s="19" t="str">
        <x:v>中</x:v>
      </x:c>
      <x:c r="D50" s="19" t="str">
        <x:v>SA</x:v>
      </x:c>
      <x:c r="E50" s="19" t="str">
        <x:v>调试助手</x:v>
      </x:c>
      <x:c r="F50" s="19" t="str">
        <x:v>B 软件工程</x:v>
      </x:c>
    </x:row>
    <x:row r="51">
      <x:c r="A51" s="19" t="str">
        <x:v>DISC-0809-0010</x:v>
      </x:c>
      <x:c r="B51" s="19" t="str">
        <x:v>软件工程</x:v>
      </x:c>
      <x:c r="C51" s="19" t="str">
        <x:v>中</x:v>
      </x:c>
      <x:c r="D51" s="19" t="str">
        <x:v>SA</x:v>
      </x:c>
      <x:c r="E51" s="19" t="str">
        <x:v>调试助手</x:v>
      </x:c>
      <x:c r="F51" s="19" t="str">
        <x:v>B 软件工程</x:v>
      </x:c>
    </x:row>
    <x:row r="52">
      <x:c r="A52" s="19" t="str">
        <x:v>DISC-0809-0010</x:v>
      </x:c>
      <x:c r="B52" s="19" t="str">
        <x:v>网络工程</x:v>
      </x:c>
      <x:c r="C52" s="19" t="str">
        <x:v>中</x:v>
      </x:c>
      <x:c r="D52" s="19" t="str">
        <x:v>SA</x:v>
      </x:c>
      <x:c r="E52" s="19" t="str">
        <x:v>调试助手</x:v>
      </x:c>
      <x:c r="F52" s="19" t="str">
        <x:v>B 软件工程</x:v>
      </x:c>
    </x:row>
    <x:row r="53">
      <x:c r="A53" s="19" t="str">
        <x:v>DISC-0809-0010</x:v>
      </x:c>
      <x:c r="B53" s="19" t="str">
        <x:v>电子与计算机工程</x:v>
      </x:c>
      <x:c r="C53" s="19" t="str">
        <x:v>中</x:v>
      </x:c>
      <x:c r="D53" s="19" t="str">
        <x:v>SA</x:v>
      </x:c>
      <x:c r="E53" s="19" t="str">
        <x:v>调试助手</x:v>
      </x:c>
      <x:c r="F53" s="19" t="str">
        <x:v>B 软件工程</x:v>
      </x:c>
    </x:row>
    <x:row r="54">
      <x:c r="A54" s="19" t="str">
        <x:v>DISC-0809-0010</x:v>
      </x:c>
      <x:c r="B54" s="19" t="str">
        <x:v>新媒体技术</x:v>
      </x:c>
      <x:c r="C54" s="19" t="str">
        <x:v>中</x:v>
      </x:c>
      <x:c r="D54" s="19" t="str">
        <x:v>SA</x:v>
      </x:c>
      <x:c r="E54" s="19" t="str">
        <x:v>调试助手</x:v>
      </x:c>
      <x:c r="F54" s="19" t="str">
        <x:v>B 软件工程</x:v>
      </x:c>
    </x:row>
    <x:row r="55">
      <x:c r="A55" s="19" t="str">
        <x:v>DISC-0809-0011</x:v>
      </x:c>
      <x:c r="B55" s="19" t="str">
        <x:v>计算机科学与技术</x:v>
      </x:c>
      <x:c r="C55" s="19" t="str">
        <x:v>中</x:v>
      </x:c>
      <x:c r="D55" s="19" t="str">
        <x:v>SA</x:v>
      </x:c>
      <x:c r="E55" s="19" t="str">
        <x:v>Git 提交信息生成</x:v>
      </x:c>
      <x:c r="F55" s="19" t="str">
        <x:v>B 软件工程</x:v>
      </x:c>
    </x:row>
    <x:row r="56">
      <x:c r="A56" s="19" t="str">
        <x:v>DISC-0809-0011</x:v>
      </x:c>
      <x:c r="B56" s="19" t="str">
        <x:v>软件工程</x:v>
      </x:c>
      <x:c r="C56" s="19" t="str">
        <x:v>中</x:v>
      </x:c>
      <x:c r="D56" s="19" t="str">
        <x:v>SA</x:v>
      </x:c>
      <x:c r="E56" s="19" t="str">
        <x:v>Git 提交信息生成</x:v>
      </x:c>
      <x:c r="F56" s="19" t="str">
        <x:v>B 软件工程</x:v>
      </x:c>
    </x:row>
    <x:row r="57">
      <x:c r="A57" s="19" t="str">
        <x:v>DISC-0809-0011</x:v>
      </x:c>
      <x:c r="B57" s="19" t="str">
        <x:v>网络工程</x:v>
      </x:c>
      <x:c r="C57" s="19" t="str">
        <x:v>中</x:v>
      </x:c>
      <x:c r="D57" s="19" t="str">
        <x:v>SA</x:v>
      </x:c>
      <x:c r="E57" s="19" t="str">
        <x:v>Git 提交信息生成</x:v>
      </x:c>
      <x:c r="F57" s="19" t="str">
        <x:v>B 软件工程</x:v>
      </x:c>
    </x:row>
    <x:row r="58">
      <x:c r="A58" s="19" t="str">
        <x:v>DISC-0809-0011</x:v>
      </x:c>
      <x:c r="B58" s="19" t="str">
        <x:v>电子与计算机工程</x:v>
      </x:c>
      <x:c r="C58" s="19" t="str">
        <x:v>中</x:v>
      </x:c>
      <x:c r="D58" s="19" t="str">
        <x:v>SA</x:v>
      </x:c>
      <x:c r="E58" s="19" t="str">
        <x:v>Git 提交信息生成</x:v>
      </x:c>
      <x:c r="F58" s="19" t="str">
        <x:v>B 软件工程</x:v>
      </x:c>
    </x:row>
    <x:row r="59">
      <x:c r="A59" s="19" t="str">
        <x:v>DISC-0809-0011</x:v>
      </x:c>
      <x:c r="B59" s="19" t="str">
        <x:v>新媒体技术</x:v>
      </x:c>
      <x:c r="C59" s="19" t="str">
        <x:v>中</x:v>
      </x:c>
      <x:c r="D59" s="19" t="str">
        <x:v>SA</x:v>
      </x:c>
      <x:c r="E59" s="19" t="str">
        <x:v>Git 提交信息生成</x:v>
      </x:c>
      <x:c r="F59" s="19" t="str">
        <x:v>B 软件工程</x:v>
      </x:c>
    </x:row>
    <x:row r="60">
      <x:c r="A60" s="19" t="str">
        <x:v>DISC-0809-0012</x:v>
      </x:c>
      <x:c r="B60" s="19" t="str">
        <x:v>计算机科学与技术</x:v>
      </x:c>
      <x:c r="C60" s="19" t="str">
        <x:v>中</x:v>
      </x:c>
      <x:c r="D60" s="19" t="str">
        <x:v>SA</x:v>
      </x:c>
      <x:c r="E60" s="19" t="str">
        <x:v>单元测试生成</x:v>
      </x:c>
      <x:c r="F60" s="19" t="str">
        <x:v>B 软件工程</x:v>
      </x:c>
    </x:row>
    <x:row r="61">
      <x:c r="A61" s="19" t="str">
        <x:v>DISC-0809-0012</x:v>
      </x:c>
      <x:c r="B61" s="19" t="str">
        <x:v>软件工程</x:v>
      </x:c>
      <x:c r="C61" s="19" t="str">
        <x:v>中</x:v>
      </x:c>
      <x:c r="D61" s="19" t="str">
        <x:v>SA</x:v>
      </x:c>
      <x:c r="E61" s="19" t="str">
        <x:v>单元测试生成</x:v>
      </x:c>
      <x:c r="F61" s="19" t="str">
        <x:v>B 软件工程</x:v>
      </x:c>
    </x:row>
    <x:row r="62">
      <x:c r="A62" s="19" t="str">
        <x:v>DISC-0809-0012</x:v>
      </x:c>
      <x:c r="B62" s="19" t="str">
        <x:v>网络工程</x:v>
      </x:c>
      <x:c r="C62" s="19" t="str">
        <x:v>中</x:v>
      </x:c>
      <x:c r="D62" s="19" t="str">
        <x:v>SA</x:v>
      </x:c>
      <x:c r="E62" s="19" t="str">
        <x:v>单元测试生成</x:v>
      </x:c>
      <x:c r="F62" s="19" t="str">
        <x:v>B 软件工程</x:v>
      </x:c>
    </x:row>
    <x:row r="63">
      <x:c r="A63" s="19" t="str">
        <x:v>DISC-0809-0012</x:v>
      </x:c>
      <x:c r="B63" s="19" t="str">
        <x:v>电子与计算机工程</x:v>
      </x:c>
      <x:c r="C63" s="19" t="str">
        <x:v>中</x:v>
      </x:c>
      <x:c r="D63" s="19" t="str">
        <x:v>SA</x:v>
      </x:c>
      <x:c r="E63" s="19" t="str">
        <x:v>单元测试生成</x:v>
      </x:c>
      <x:c r="F63" s="19" t="str">
        <x:v>B 软件工程</x:v>
      </x:c>
    </x:row>
    <x:row r="64">
      <x:c r="A64" s="19" t="str">
        <x:v>DISC-0809-0012</x:v>
      </x:c>
      <x:c r="B64" s="19" t="str">
        <x:v>新媒体技术</x:v>
      </x:c>
      <x:c r="C64" s="19" t="str">
        <x:v>中</x:v>
      </x:c>
      <x:c r="D64" s="19" t="str">
        <x:v>SA</x:v>
      </x:c>
      <x:c r="E64" s="19" t="str">
        <x:v>单元测试生成</x:v>
      </x:c>
      <x:c r="F64" s="19" t="str">
        <x:v>B 软件工程</x:v>
      </x:c>
    </x:row>
    <x:row r="65">
      <x:c r="A65" s="19" t="str">
        <x:v>DISC-0809-0013</x:v>
      </x:c>
      <x:c r="B65" s="19" t="str">
        <x:v>计算机科学与技术</x:v>
      </x:c>
      <x:c r="C65" s="19" t="str">
        <x:v>中</x:v>
      </x:c>
      <x:c r="D65" s="19" t="str">
        <x:v>SA</x:v>
      </x:c>
      <x:c r="E65" s="19" t="str">
        <x:v>GitLab 提交信息规范</x:v>
      </x:c>
      <x:c r="F65" s="19" t="str">
        <x:v>B 软件工程</x:v>
      </x:c>
    </x:row>
    <x:row r="66">
      <x:c r="A66" s="19" t="str">
        <x:v>DISC-0809-0013</x:v>
      </x:c>
      <x:c r="B66" s="19" t="str">
        <x:v>软件工程</x:v>
      </x:c>
      <x:c r="C66" s="19" t="str">
        <x:v>中</x:v>
      </x:c>
      <x:c r="D66" s="19" t="str">
        <x:v>SA</x:v>
      </x:c>
      <x:c r="E66" s="19" t="str">
        <x:v>GitLab 提交信息规范</x:v>
      </x:c>
      <x:c r="F66" s="19" t="str">
        <x:v>B 软件工程</x:v>
      </x:c>
    </x:row>
    <x:row r="67">
      <x:c r="A67" s="19" t="str">
        <x:v>DISC-0809-0013</x:v>
      </x:c>
      <x:c r="B67" s="19" t="str">
        <x:v>网络工程</x:v>
      </x:c>
      <x:c r="C67" s="19" t="str">
        <x:v>中</x:v>
      </x:c>
      <x:c r="D67" s="19" t="str">
        <x:v>SA</x:v>
      </x:c>
      <x:c r="E67" s="19" t="str">
        <x:v>GitLab 提交信息规范</x:v>
      </x:c>
      <x:c r="F67" s="19" t="str">
        <x:v>B 软件工程</x:v>
      </x:c>
    </x:row>
    <x:row r="68">
      <x:c r="A68" s="19" t="str">
        <x:v>DISC-0809-0013</x:v>
      </x:c>
      <x:c r="B68" s="19" t="str">
        <x:v>电子与计算机工程</x:v>
      </x:c>
      <x:c r="C68" s="19" t="str">
        <x:v>中</x:v>
      </x:c>
      <x:c r="D68" s="19" t="str">
        <x:v>SA</x:v>
      </x:c>
      <x:c r="E68" s="19" t="str">
        <x:v>GitLab 提交信息规范</x:v>
      </x:c>
      <x:c r="F68" s="19" t="str">
        <x:v>B 软件工程</x:v>
      </x:c>
    </x:row>
    <x:row r="69">
      <x:c r="A69" s="19" t="str">
        <x:v>DISC-0809-0013</x:v>
      </x:c>
      <x:c r="B69" s="19" t="str">
        <x:v>新媒体技术</x:v>
      </x:c>
      <x:c r="C69" s="19" t="str">
        <x:v>中</x:v>
      </x:c>
      <x:c r="D69" s="19" t="str">
        <x:v>SA</x:v>
      </x:c>
      <x:c r="E69" s="19" t="str">
        <x:v>GitLab 提交信息规范</x:v>
      </x:c>
      <x:c r="F69" s="19" t="str">
        <x:v>B 软件工程</x:v>
      </x:c>
    </x:row>
    <x:row r="70">
      <x:c r="A70" s="19" t="str">
        <x:v>DISC-0809-0014</x:v>
      </x:c>
      <x:c r="B70" s="19" t="str">
        <x:v>计算机科学与技术</x:v>
      </x:c>
      <x:c r="C70" s="19" t="str">
        <x:v>中</x:v>
      </x:c>
      <x:c r="D70" s="19" t="str">
        <x:v>SB</x:v>
      </x:c>
      <x:c r="E70" s="19" t="str">
        <x:v>工程任务交接</x:v>
      </x:c>
      <x:c r="F70" s="19" t="str">
        <x:v>B 软件工程</x:v>
      </x:c>
    </x:row>
    <x:row r="71">
      <x:c r="A71" s="19" t="str">
        <x:v>DISC-0809-0014</x:v>
      </x:c>
      <x:c r="B71" s="19" t="str">
        <x:v>软件工程</x:v>
      </x:c>
      <x:c r="C71" s="19" t="str">
        <x:v>中</x:v>
      </x:c>
      <x:c r="D71" s="19" t="str">
        <x:v>SB</x:v>
      </x:c>
      <x:c r="E71" s="19" t="str">
        <x:v>工程任务交接</x:v>
      </x:c>
      <x:c r="F71" s="19" t="str">
        <x:v>B 软件工程</x:v>
      </x:c>
    </x:row>
    <x:row r="72">
      <x:c r="A72" s="19" t="str">
        <x:v>DISC-0809-0014</x:v>
      </x:c>
      <x:c r="B72" s="19" t="str">
        <x:v>网络工程</x:v>
      </x:c>
      <x:c r="C72" s="19" t="str">
        <x:v>中</x:v>
      </x:c>
      <x:c r="D72" s="19" t="str">
        <x:v>SB</x:v>
      </x:c>
      <x:c r="E72" s="19" t="str">
        <x:v>工程任务交接</x:v>
      </x:c>
      <x:c r="F72" s="19" t="str">
        <x:v>B 软件工程</x:v>
      </x:c>
    </x:row>
    <x:row r="73">
      <x:c r="A73" s="19" t="str">
        <x:v>DISC-0809-0014</x:v>
      </x:c>
      <x:c r="B73" s="19" t="str">
        <x:v>电子与计算机工程</x:v>
      </x:c>
      <x:c r="C73" s="19" t="str">
        <x:v>中</x:v>
      </x:c>
      <x:c r="D73" s="19" t="str">
        <x:v>SB</x:v>
      </x:c>
      <x:c r="E73" s="19" t="str">
        <x:v>工程任务交接</x:v>
      </x:c>
      <x:c r="F73" s="19" t="str">
        <x:v>B 软件工程</x:v>
      </x:c>
    </x:row>
    <x:row r="74">
      <x:c r="A74" s="19" t="str">
        <x:v>DISC-0809-0014</x:v>
      </x:c>
      <x:c r="B74" s="19" t="str">
        <x:v>新媒体技术</x:v>
      </x:c>
      <x:c r="C74" s="19" t="str">
        <x:v>中</x:v>
      </x:c>
      <x:c r="D74" s="19" t="str">
        <x:v>SB</x:v>
      </x:c>
      <x:c r="E74" s="19" t="str">
        <x:v>工程任务交接</x:v>
      </x:c>
      <x:c r="F74" s="19" t="str">
        <x:v>B 软件工程</x:v>
      </x:c>
    </x:row>
    <x:row r="75">
      <x:c r="A75" s="19" t="str">
        <x:v>DISC-0809-0015</x:v>
      </x:c>
      <x:c r="B75" s="19" t="str">
        <x:v>计算机科学与技术</x:v>
      </x:c>
      <x:c r="C75" s="19" t="str">
        <x:v>中</x:v>
      </x:c>
      <x:c r="D75" s="19" t="str">
        <x:v>SB</x:v>
      </x:c>
      <x:c r="E75" s="19" t="str">
        <x:v>GitLab MR 引导式审查</x:v>
      </x:c>
      <x:c r="F75" s="19" t="str">
        <x:v>B 软件工程</x:v>
      </x:c>
    </x:row>
    <x:row r="76">
      <x:c r="A76" s="19" t="str">
        <x:v>DISC-0809-0015</x:v>
      </x:c>
      <x:c r="B76" s="19" t="str">
        <x:v>软件工程</x:v>
      </x:c>
      <x:c r="C76" s="19" t="str">
        <x:v>中</x:v>
      </x:c>
      <x:c r="D76" s="19" t="str">
        <x:v>SB</x:v>
      </x:c>
      <x:c r="E76" s="19" t="str">
        <x:v>GitLab MR 引导式审查</x:v>
      </x:c>
      <x:c r="F76" s="19" t="str">
        <x:v>B 软件工程</x:v>
      </x:c>
    </x:row>
    <x:row r="77">
      <x:c r="A77" s="19" t="str">
        <x:v>DISC-0809-0015</x:v>
      </x:c>
      <x:c r="B77" s="19" t="str">
        <x:v>网络工程</x:v>
      </x:c>
      <x:c r="C77" s="19" t="str">
        <x:v>中</x:v>
      </x:c>
      <x:c r="D77" s="19" t="str">
        <x:v>SB</x:v>
      </x:c>
      <x:c r="E77" s="19" t="str">
        <x:v>GitLab MR 引导式审查</x:v>
      </x:c>
      <x:c r="F77" s="19" t="str">
        <x:v>B 软件工程</x:v>
      </x:c>
    </x:row>
    <x:row r="78">
      <x:c r="A78" s="19" t="str">
        <x:v>DISC-0809-0015</x:v>
      </x:c>
      <x:c r="B78" s="19" t="str">
        <x:v>电子与计算机工程</x:v>
      </x:c>
      <x:c r="C78" s="19" t="str">
        <x:v>中</x:v>
      </x:c>
      <x:c r="D78" s="19" t="str">
        <x:v>SB</x:v>
      </x:c>
      <x:c r="E78" s="19" t="str">
        <x:v>GitLab MR 引导式审查</x:v>
      </x:c>
      <x:c r="F78" s="19" t="str">
        <x:v>B 软件工程</x:v>
      </x:c>
    </x:row>
    <x:row r="79">
      <x:c r="A79" s="19" t="str">
        <x:v>DISC-0809-0015</x:v>
      </x:c>
      <x:c r="B79" s="19" t="str">
        <x:v>新媒体技术</x:v>
      </x:c>
      <x:c r="C79" s="19" t="str">
        <x:v>中</x:v>
      </x:c>
      <x:c r="D79" s="19" t="str">
        <x:v>SB</x:v>
      </x:c>
      <x:c r="E79" s="19" t="str">
        <x:v>GitLab MR 引导式审查</x:v>
      </x:c>
      <x:c r="F79" s="19" t="str">
        <x:v>B 软件工程</x:v>
      </x:c>
    </x:row>
    <x:row r="80">
      <x:c r="A80" s="19" t="str">
        <x:v>DISC-0809-0016</x:v>
      </x:c>
      <x:c r="B80" s="19" t="str">
        <x:v>计算机科学与技术</x:v>
      </x:c>
      <x:c r="C80" s="19" t="str">
        <x:v>中</x:v>
      </x:c>
      <x:c r="D80" s="19" t="str">
        <x:v>SA</x:v>
      </x:c>
      <x:c r="E80" s="19" t="str">
        <x:v>精简架构审查</x:v>
      </x:c>
      <x:c r="F80" s="19" t="str">
        <x:v>B 软件工程</x:v>
      </x:c>
    </x:row>
    <x:row r="81">
      <x:c r="A81" s="19" t="str">
        <x:v>DISC-0809-0016</x:v>
      </x:c>
      <x:c r="B81" s="19" t="str">
        <x:v>软件工程</x:v>
      </x:c>
      <x:c r="C81" s="19" t="str">
        <x:v>中</x:v>
      </x:c>
      <x:c r="D81" s="19" t="str">
        <x:v>SA</x:v>
      </x:c>
      <x:c r="E81" s="19" t="str">
        <x:v>精简架构审查</x:v>
      </x:c>
      <x:c r="F81" s="19" t="str">
        <x:v>B 软件工程</x:v>
      </x:c>
    </x:row>
    <x:row r="82">
      <x:c r="A82" s="19" t="str">
        <x:v>DISC-0809-0016</x:v>
      </x:c>
      <x:c r="B82" s="19" t="str">
        <x:v>网络工程</x:v>
      </x:c>
      <x:c r="C82" s="19" t="str">
        <x:v>中</x:v>
      </x:c>
      <x:c r="D82" s="19" t="str">
        <x:v>SA</x:v>
      </x:c>
      <x:c r="E82" s="19" t="str">
        <x:v>精简架构审查</x:v>
      </x:c>
      <x:c r="F82" s="19" t="str">
        <x:v>B 软件工程</x:v>
      </x:c>
    </x:row>
    <x:row r="83">
      <x:c r="A83" s="19" t="str">
        <x:v>DISC-0809-0016</x:v>
      </x:c>
      <x:c r="B83" s="19" t="str">
        <x:v>电子与计算机工程</x:v>
      </x:c>
      <x:c r="C83" s="19" t="str">
        <x:v>中</x:v>
      </x:c>
      <x:c r="D83" s="19" t="str">
        <x:v>SA</x:v>
      </x:c>
      <x:c r="E83" s="19" t="str">
        <x:v>精简架构审查</x:v>
      </x:c>
      <x:c r="F83" s="19" t="str">
        <x:v>B 软件工程</x:v>
      </x:c>
    </x:row>
    <x:row r="84">
      <x:c r="A84" s="19" t="str">
        <x:v>DISC-0809-0016</x:v>
      </x:c>
      <x:c r="B84" s="19" t="str">
        <x:v>新媒体技术</x:v>
      </x:c>
      <x:c r="C84" s="19" t="str">
        <x:v>中</x:v>
      </x:c>
      <x:c r="D84" s="19" t="str">
        <x:v>SA</x:v>
      </x:c>
      <x:c r="E84" s="19" t="str">
        <x:v>精简架构审查</x:v>
      </x:c>
      <x:c r="F84" s="19" t="str">
        <x:v>B 软件工程</x:v>
      </x:c>
    </x:row>
    <x:row r="85">
      <x:c r="A85" s="19" t="str">
        <x:v>DISC-0809-0017</x:v>
      </x:c>
      <x:c r="B85" s="19" t="str">
        <x:v>计算机科学与技术</x:v>
      </x:c>
      <x:c r="C85" s="19" t="str">
        <x:v>中</x:v>
      </x:c>
      <x:c r="D85" s="19" t="str">
        <x:v>SB</x:v>
      </x:c>
      <x:c r="E85" s="19" t="str">
        <x:v>工程多智能体编排</x:v>
      </x:c>
      <x:c r="F85" s="19" t="str">
        <x:v>B 软件工程</x:v>
      </x:c>
    </x:row>
    <x:row r="86">
      <x:c r="A86" s="19" t="str">
        <x:v>DISC-0809-0017</x:v>
      </x:c>
      <x:c r="B86" s="19" t="str">
        <x:v>软件工程</x:v>
      </x:c>
      <x:c r="C86" s="19" t="str">
        <x:v>中</x:v>
      </x:c>
      <x:c r="D86" s="19" t="str">
        <x:v>SB</x:v>
      </x:c>
      <x:c r="E86" s="19" t="str">
        <x:v>工程多智能体编排</x:v>
      </x:c>
      <x:c r="F86" s="19" t="str">
        <x:v>B 软件工程</x:v>
      </x:c>
    </x:row>
    <x:row r="87">
      <x:c r="A87" s="19" t="str">
        <x:v>DISC-0809-0017</x:v>
      </x:c>
      <x:c r="B87" s="19" t="str">
        <x:v>网络工程</x:v>
      </x:c>
      <x:c r="C87" s="19" t="str">
        <x:v>中</x:v>
      </x:c>
      <x:c r="D87" s="19" t="str">
        <x:v>SB</x:v>
      </x:c>
      <x:c r="E87" s="19" t="str">
        <x:v>工程多智能体编排</x:v>
      </x:c>
      <x:c r="F87" s="19" t="str">
        <x:v>B 软件工程</x:v>
      </x:c>
    </x:row>
    <x:row r="88">
      <x:c r="A88" s="19" t="str">
        <x:v>DISC-0809-0017</x:v>
      </x:c>
      <x:c r="B88" s="19" t="str">
        <x:v>电子与计算机工程</x:v>
      </x:c>
      <x:c r="C88" s="19" t="str">
        <x:v>中</x:v>
      </x:c>
      <x:c r="D88" s="19" t="str">
        <x:v>SB</x:v>
      </x:c>
      <x:c r="E88" s="19" t="str">
        <x:v>工程多智能体编排</x:v>
      </x:c>
      <x:c r="F88" s="19" t="str">
        <x:v>B 软件工程</x:v>
      </x:c>
    </x:row>
    <x:row r="89">
      <x:c r="A89" s="19" t="str">
        <x:v>DISC-0809-0017</x:v>
      </x:c>
      <x:c r="B89" s="19" t="str">
        <x:v>新媒体技术</x:v>
      </x:c>
      <x:c r="C89" s="19" t="str">
        <x:v>中</x:v>
      </x:c>
      <x:c r="D89" s="19" t="str">
        <x:v>SB</x:v>
      </x:c>
      <x:c r="E89" s="19" t="str">
        <x:v>工程多智能体编排</x:v>
      </x:c>
      <x:c r="F89" s="19" t="str">
        <x:v>B 软件工程</x:v>
      </x:c>
    </x:row>
    <x:row r="90">
      <x:c r="A90" s="19" t="str">
        <x:v>DISC-0809-0018</x:v>
      </x:c>
      <x:c r="B90" s="19" t="str">
        <x:v>计算机科学与技术</x:v>
      </x:c>
      <x:c r="C90" s="19" t="str">
        <x:v>中</x:v>
      </x:c>
      <x:c r="D90" s="19" t="str">
        <x:v>SB</x:v>
      </x:c>
      <x:c r="E90" s="19" t="str">
        <x:v>API 与接口设计</x:v>
      </x:c>
      <x:c r="F90" s="19" t="str">
        <x:v>B 软件工程</x:v>
      </x:c>
    </x:row>
    <x:row r="91">
      <x:c r="A91" s="19" t="str">
        <x:v>DISC-0809-0018</x:v>
      </x:c>
      <x:c r="B91" s="19" t="str">
        <x:v>软件工程</x:v>
      </x:c>
      <x:c r="C91" s="19" t="str">
        <x:v>中</x:v>
      </x:c>
      <x:c r="D91" s="19" t="str">
        <x:v>SB</x:v>
      </x:c>
      <x:c r="E91" s="19" t="str">
        <x:v>API 与接口设计</x:v>
      </x:c>
      <x:c r="F91" s="19" t="str">
        <x:v>B 软件工程</x:v>
      </x:c>
    </x:row>
    <x:row r="92">
      <x:c r="A92" s="19" t="str">
        <x:v>DISC-0809-0018</x:v>
      </x:c>
      <x:c r="B92" s="19" t="str">
        <x:v>网络工程</x:v>
      </x:c>
      <x:c r="C92" s="19" t="str">
        <x:v>中</x:v>
      </x:c>
      <x:c r="D92" s="19" t="str">
        <x:v>SB</x:v>
      </x:c>
      <x:c r="E92" s="19" t="str">
        <x:v>API 与接口设计</x:v>
      </x:c>
      <x:c r="F92" s="19" t="str">
        <x:v>B 软件工程</x:v>
      </x:c>
    </x:row>
    <x:row r="93">
      <x:c r="A93" s="19" t="str">
        <x:v>DISC-0809-0018</x:v>
      </x:c>
      <x:c r="B93" s="19" t="str">
        <x:v>电子与计算机工程</x:v>
      </x:c>
      <x:c r="C93" s="19" t="str">
        <x:v>中</x:v>
      </x:c>
      <x:c r="D93" s="19" t="str">
        <x:v>SB</x:v>
      </x:c>
      <x:c r="E93" s="19" t="str">
        <x:v>API 与接口设计</x:v>
      </x:c>
      <x:c r="F93" s="19" t="str">
        <x:v>B 软件工程</x:v>
      </x:c>
    </x:row>
    <x:row r="94">
      <x:c r="A94" s="19" t="str">
        <x:v>DISC-0809-0018</x:v>
      </x:c>
      <x:c r="B94" s="19" t="str">
        <x:v>新媒体技术</x:v>
      </x:c>
      <x:c r="C94" s="19" t="str">
        <x:v>中</x:v>
      </x:c>
      <x:c r="D94" s="19" t="str">
        <x:v>SB</x:v>
      </x:c>
      <x:c r="E94" s="19" t="str">
        <x:v>API 与接口设计</x:v>
      </x:c>
      <x:c r="F94" s="19" t="str">
        <x:v>B 软件工程</x:v>
      </x:c>
    </x:row>
    <x:row r="95">
      <x:c r="A95" s="19" t="str">
        <x:v>DISC-0809-0019</x:v>
      </x:c>
      <x:c r="B95" s="19" t="str">
        <x:v>计算机科学与技术</x:v>
      </x:c>
      <x:c r="C95" s="19" t="str">
        <x:v>中</x:v>
      </x:c>
      <x:c r="D95" s="19" t="str">
        <x:v>SB-A</x:v>
      </x:c>
      <x:c r="E95" s="19" t="str">
        <x:v>浏览器 DevTools 测试</x:v>
      </x:c>
      <x:c r="F95" s="19" t="str">
        <x:v>B 软件工程</x:v>
      </x:c>
    </x:row>
    <x:row r="96">
      <x:c r="A96" s="19" t="str">
        <x:v>DISC-0809-0019</x:v>
      </x:c>
      <x:c r="B96" s="19" t="str">
        <x:v>软件工程</x:v>
      </x:c>
      <x:c r="C96" s="19" t="str">
        <x:v>中</x:v>
      </x:c>
      <x:c r="D96" s="19" t="str">
        <x:v>SB-A</x:v>
      </x:c>
      <x:c r="E96" s="19" t="str">
        <x:v>浏览器 DevTools 测试</x:v>
      </x:c>
      <x:c r="F96" s="19" t="str">
        <x:v>B 软件工程</x:v>
      </x:c>
    </x:row>
    <x:row r="97">
      <x:c r="A97" s="19" t="str">
        <x:v>DISC-0809-0019</x:v>
      </x:c>
      <x:c r="B97" s="19" t="str">
        <x:v>网络工程</x:v>
      </x:c>
      <x:c r="C97" s="19" t="str">
        <x:v>中</x:v>
      </x:c>
      <x:c r="D97" s="19" t="str">
        <x:v>SB-A</x:v>
      </x:c>
      <x:c r="E97" s="19" t="str">
        <x:v>浏览器 DevTools 测试</x:v>
      </x:c>
      <x:c r="F97" s="19" t="str">
        <x:v>B 软件工程</x:v>
      </x:c>
    </x:row>
    <x:row r="98">
      <x:c r="A98" s="19" t="str">
        <x:v>DISC-0809-0019</x:v>
      </x:c>
      <x:c r="B98" s="19" t="str">
        <x:v>电子与计算机工程</x:v>
      </x:c>
      <x:c r="C98" s="19" t="str">
        <x:v>中</x:v>
      </x:c>
      <x:c r="D98" s="19" t="str">
        <x:v>SB-A</x:v>
      </x:c>
      <x:c r="E98" s="19" t="str">
        <x:v>浏览器 DevTools 测试</x:v>
      </x:c>
      <x:c r="F98" s="19" t="str">
        <x:v>B 软件工程</x:v>
      </x:c>
    </x:row>
    <x:row r="99">
      <x:c r="A99" s="19" t="str">
        <x:v>DISC-0809-0019</x:v>
      </x:c>
      <x:c r="B99" s="19" t="str">
        <x:v>新媒体技术</x:v>
      </x:c>
      <x:c r="C99" s="19" t="str">
        <x:v>中</x:v>
      </x:c>
      <x:c r="D99" s="19" t="str">
        <x:v>SB-A</x:v>
      </x:c>
      <x:c r="E99" s="19" t="str">
        <x:v>浏览器 DevTools 测试</x:v>
      </x:c>
      <x:c r="F99" s="19" t="str">
        <x:v>B 软件工程</x:v>
      </x:c>
    </x:row>
    <x:row r="100">
      <x:c r="A100" s="19" t="str">
        <x:v>DISC-0809-0020</x:v>
      </x:c>
      <x:c r="B100" s="19" t="str">
        <x:v>计算机科学与技术</x:v>
      </x:c>
      <x:c r="C100" s="19" t="str">
        <x:v>中</x:v>
      </x:c>
      <x:c r="D100" s="19" t="str">
        <x:v>SB-A</x:v>
      </x:c>
      <x:c r="E100" s="19" t="str">
        <x:v>CI/CD 与工程自动化</x:v>
      </x:c>
      <x:c r="F100" s="19" t="str">
        <x:v>B 软件工程</x:v>
      </x:c>
    </x:row>
    <x:row r="101">
      <x:c r="A101" s="19" t="str">
        <x:v>DISC-0809-0020</x:v>
      </x:c>
      <x:c r="B101" s="19" t="str">
        <x:v>软件工程</x:v>
      </x:c>
      <x:c r="C101" s="19" t="str">
        <x:v>中</x:v>
      </x:c>
      <x:c r="D101" s="19" t="str">
        <x:v>SB-A</x:v>
      </x:c>
      <x:c r="E101" s="19" t="str">
        <x:v>CI/CD 与工程自动化</x:v>
      </x:c>
      <x:c r="F101" s="19" t="str">
        <x:v>B 软件工程</x:v>
      </x:c>
    </x:row>
    <x:row r="102">
      <x:c r="A102" s="19" t="str">
        <x:v>DISC-0809-0020</x:v>
      </x:c>
      <x:c r="B102" s="19" t="str">
        <x:v>网络工程</x:v>
      </x:c>
      <x:c r="C102" s="19" t="str">
        <x:v>中</x:v>
      </x:c>
      <x:c r="D102" s="19" t="str">
        <x:v>SB-A</x:v>
      </x:c>
      <x:c r="E102" s="19" t="str">
        <x:v>CI/CD 与工程自动化</x:v>
      </x:c>
      <x:c r="F102" s="19" t="str">
        <x:v>B 软件工程</x:v>
      </x:c>
    </x:row>
    <x:row r="103">
      <x:c r="A103" s="19" t="str">
        <x:v>DISC-0809-0020</x:v>
      </x:c>
      <x:c r="B103" s="19" t="str">
        <x:v>电子与计算机工程</x:v>
      </x:c>
      <x:c r="C103" s="19" t="str">
        <x:v>中</x:v>
      </x:c>
      <x:c r="D103" s="19" t="str">
        <x:v>SB-A</x:v>
      </x:c>
      <x:c r="E103" s="19" t="str">
        <x:v>CI/CD 与工程自动化</x:v>
      </x:c>
      <x:c r="F103" s="19" t="str">
        <x:v>B 软件工程</x:v>
      </x:c>
    </x:row>
    <x:row r="104">
      <x:c r="A104" s="19" t="str">
        <x:v>DISC-0809-0020</x:v>
      </x:c>
      <x:c r="B104" s="19" t="str">
        <x:v>新媒体技术</x:v>
      </x:c>
      <x:c r="C104" s="19" t="str">
        <x:v>中</x:v>
      </x:c>
      <x:c r="D104" s="19" t="str">
        <x:v>SB-A</x:v>
      </x:c>
      <x:c r="E104" s="19" t="str">
        <x:v>CI/CD 与工程自动化</x:v>
      </x:c>
      <x:c r="F104" s="19" t="str">
        <x:v>B 软件工程</x:v>
      </x:c>
    </x:row>
    <x:row r="105">
      <x:c r="A105" s="19" t="str">
        <x:v>DISC-0809-0021</x:v>
      </x:c>
      <x:c r="B105" s="19" t="str">
        <x:v>计算机科学与技术</x:v>
      </x:c>
      <x:c r="C105" s="19" t="str">
        <x:v>高</x:v>
      </x:c>
      <x:c r="D105" s="19" t="str">
        <x:v>SB</x:v>
      </x:c>
      <x:c r="E105" s="19" t="str">
        <x:v>代码审查与质量控制</x:v>
      </x:c>
      <x:c r="F105" s="19" t="str">
        <x:v>B 软件工程</x:v>
      </x:c>
    </x:row>
    <x:row r="106">
      <x:c r="A106" s="19" t="str">
        <x:v>DISC-0809-0021</x:v>
      </x:c>
      <x:c r="B106" s="19" t="str">
        <x:v>软件工程</x:v>
      </x:c>
      <x:c r="C106" s="19" t="str">
        <x:v>高</x:v>
      </x:c>
      <x:c r="D106" s="19" t="str">
        <x:v>SB</x:v>
      </x:c>
      <x:c r="E106" s="19" t="str">
        <x:v>代码审查与质量控制</x:v>
      </x:c>
      <x:c r="F106" s="19" t="str">
        <x:v>B 软件工程</x:v>
      </x:c>
    </x:row>
    <x:row r="107">
      <x:c r="A107" s="19" t="str">
        <x:v>DISC-0809-0021</x:v>
      </x:c>
      <x:c r="B107" s="19" t="str">
        <x:v>网络工程</x:v>
      </x:c>
      <x:c r="C107" s="19" t="str">
        <x:v>高</x:v>
      </x:c>
      <x:c r="D107" s="19" t="str">
        <x:v>SB</x:v>
      </x:c>
      <x:c r="E107" s="19" t="str">
        <x:v>代码审查与质量控制</x:v>
      </x:c>
      <x:c r="F107" s="19" t="str">
        <x:v>B 软件工程</x:v>
      </x:c>
    </x:row>
    <x:row r="108">
      <x:c r="A108" s="19" t="str">
        <x:v>DISC-0809-0021</x:v>
      </x:c>
      <x:c r="B108" s="19" t="str">
        <x:v>电子与计算机工程</x:v>
      </x:c>
      <x:c r="C108" s="19" t="str">
        <x:v>高</x:v>
      </x:c>
      <x:c r="D108" s="19" t="str">
        <x:v>SB</x:v>
      </x:c>
      <x:c r="E108" s="19" t="str">
        <x:v>代码审查与质量控制</x:v>
      </x:c>
      <x:c r="F108" s="19" t="str">
        <x:v>B 软件工程</x:v>
      </x:c>
    </x:row>
    <x:row r="109">
      <x:c r="A109" s="19" t="str">
        <x:v>DISC-0809-0021</x:v>
      </x:c>
      <x:c r="B109" s="19" t="str">
        <x:v>新媒体技术</x:v>
      </x:c>
      <x:c r="C109" s="19" t="str">
        <x:v>高</x:v>
      </x:c>
      <x:c r="D109" s="19" t="str">
        <x:v>SB</x:v>
      </x:c>
      <x:c r="E109" s="19" t="str">
        <x:v>代码审查与质量控制</x:v>
      </x:c>
      <x:c r="F109" s="19" t="str">
        <x:v>B 软件工程</x:v>
      </x:c>
    </x:row>
    <x:row r="110">
      <x:c r="A110" s="19" t="str">
        <x:v>DISC-0809-0022</x:v>
      </x:c>
      <x:c r="B110" s="19" t="str">
        <x:v>计算机科学与技术</x:v>
      </x:c>
      <x:c r="C110" s="19" t="str">
        <x:v>中</x:v>
      </x:c>
      <x:c r="D110" s="19" t="str">
        <x:v>SB</x:v>
      </x:c>
      <x:c r="E110" s="19" t="str">
        <x:v>代码简化</x:v>
      </x:c>
      <x:c r="F110" s="19" t="str">
        <x:v>B 软件工程</x:v>
      </x:c>
    </x:row>
    <x:row r="111">
      <x:c r="A111" s="19" t="str">
        <x:v>DISC-0809-0022</x:v>
      </x:c>
      <x:c r="B111" s="19" t="str">
        <x:v>软件工程</x:v>
      </x:c>
      <x:c r="C111" s="19" t="str">
        <x:v>中</x:v>
      </x:c>
      <x:c r="D111" s="19" t="str">
        <x:v>SB</x:v>
      </x:c>
      <x:c r="E111" s="19" t="str">
        <x:v>代码简化</x:v>
      </x:c>
      <x:c r="F111" s="19" t="str">
        <x:v>B 软件工程</x:v>
      </x:c>
    </x:row>
    <x:row r="112">
      <x:c r="A112" s="19" t="str">
        <x:v>DISC-0809-0022</x:v>
      </x:c>
      <x:c r="B112" s="19" t="str">
        <x:v>网络工程</x:v>
      </x:c>
      <x:c r="C112" s="19" t="str">
        <x:v>中</x:v>
      </x:c>
      <x:c r="D112" s="19" t="str">
        <x:v>SB</x:v>
      </x:c>
      <x:c r="E112" s="19" t="str">
        <x:v>代码简化</x:v>
      </x:c>
      <x:c r="F112" s="19" t="str">
        <x:v>B 软件工程</x:v>
      </x:c>
    </x:row>
    <x:row r="113">
      <x:c r="A113" s="19" t="str">
        <x:v>DISC-0809-0022</x:v>
      </x:c>
      <x:c r="B113" s="19" t="str">
        <x:v>电子与计算机工程</x:v>
      </x:c>
      <x:c r="C113" s="19" t="str">
        <x:v>中</x:v>
      </x:c>
      <x:c r="D113" s="19" t="str">
        <x:v>SB</x:v>
      </x:c>
      <x:c r="E113" s="19" t="str">
        <x:v>代码简化</x:v>
      </x:c>
      <x:c r="F113" s="19" t="str">
        <x:v>B 软件工程</x:v>
      </x:c>
    </x:row>
    <x:row r="114">
      <x:c r="A114" s="19" t="str">
        <x:v>DISC-0809-0022</x:v>
      </x:c>
      <x:c r="B114" s="19" t="str">
        <x:v>新媒体技术</x:v>
      </x:c>
      <x:c r="C114" s="19" t="str">
        <x:v>中</x:v>
      </x:c>
      <x:c r="D114" s="19" t="str">
        <x:v>SB</x:v>
      </x:c>
      <x:c r="E114" s="19" t="str">
        <x:v>代码简化</x:v>
      </x:c>
      <x:c r="F114" s="19" t="str">
        <x:v>B 软件工程</x:v>
      </x:c>
    </x:row>
    <x:row r="115">
      <x:c r="A115" s="19" t="str">
        <x:v>DISC-0809-0023</x:v>
      </x:c>
      <x:c r="B115" s="19" t="str">
        <x:v>计算机科学与技术</x:v>
      </x:c>
      <x:c r="C115" s="19" t="str">
        <x:v>中</x:v>
      </x:c>
      <x:c r="D115" s="19" t="str">
        <x:v>SB</x:v>
      </x:c>
      <x:c r="E115" s="19" t="str">
        <x:v>调试与错误恢复</x:v>
      </x:c>
      <x:c r="F115" s="19" t="str">
        <x:v>B 软件工程</x:v>
      </x:c>
    </x:row>
    <x:row r="116">
      <x:c r="A116" s="19" t="str">
        <x:v>DISC-0809-0023</x:v>
      </x:c>
      <x:c r="B116" s="19" t="str">
        <x:v>软件工程</x:v>
      </x:c>
      <x:c r="C116" s="19" t="str">
        <x:v>中</x:v>
      </x:c>
      <x:c r="D116" s="19" t="str">
        <x:v>SB</x:v>
      </x:c>
      <x:c r="E116" s="19" t="str">
        <x:v>调试与错误恢复</x:v>
      </x:c>
      <x:c r="F116" s="19" t="str">
        <x:v>B 软件工程</x:v>
      </x:c>
    </x:row>
    <x:row r="117">
      <x:c r="A117" s="19" t="str">
        <x:v>DISC-0809-0023</x:v>
      </x:c>
      <x:c r="B117" s="19" t="str">
        <x:v>网络工程</x:v>
      </x:c>
      <x:c r="C117" s="19" t="str">
        <x:v>中</x:v>
      </x:c>
      <x:c r="D117" s="19" t="str">
        <x:v>SB</x:v>
      </x:c>
      <x:c r="E117" s="19" t="str">
        <x:v>调试与错误恢复</x:v>
      </x:c>
      <x:c r="F117" s="19" t="str">
        <x:v>B 软件工程</x:v>
      </x:c>
    </x:row>
    <x:row r="118">
      <x:c r="A118" s="19" t="str">
        <x:v>DISC-0809-0023</x:v>
      </x:c>
      <x:c r="B118" s="19" t="str">
        <x:v>电子与计算机工程</x:v>
      </x:c>
      <x:c r="C118" s="19" t="str">
        <x:v>中</x:v>
      </x:c>
      <x:c r="D118" s="19" t="str">
        <x:v>SB</x:v>
      </x:c>
      <x:c r="E118" s="19" t="str">
        <x:v>调试与错误恢复</x:v>
      </x:c>
      <x:c r="F118" s="19" t="str">
        <x:v>B 软件工程</x:v>
      </x:c>
    </x:row>
    <x:row r="119">
      <x:c r="A119" s="19" t="str">
        <x:v>DISC-0809-0023</x:v>
      </x:c>
      <x:c r="B119" s="19" t="str">
        <x:v>新媒体技术</x:v>
      </x:c>
      <x:c r="C119" s="19" t="str">
        <x:v>中</x:v>
      </x:c>
      <x:c r="D119" s="19" t="str">
        <x:v>SB</x:v>
      </x:c>
      <x:c r="E119" s="19" t="str">
        <x:v>调试与错误恢复</x:v>
      </x:c>
      <x:c r="F119" s="19" t="str">
        <x:v>B 软件工程</x:v>
      </x:c>
    </x:row>
    <x:row r="120">
      <x:c r="A120" s="19" t="str">
        <x:v>DISC-0809-0024</x:v>
      </x:c>
      <x:c r="B120" s="19" t="str">
        <x:v>计算机科学与技术</x:v>
      </x:c>
      <x:c r="C120" s="19" t="str">
        <x:v>中</x:v>
      </x:c>
      <x:c r="D120" s="19" t="str">
        <x:v>SB</x:v>
      </x:c>
      <x:c r="E120" s="19" t="str">
        <x:v>工程文档与 ADR</x:v>
      </x:c>
      <x:c r="F120" s="19" t="str">
        <x:v>B 软件工程</x:v>
      </x:c>
    </x:row>
    <x:row r="121">
      <x:c r="A121" s="19" t="str">
        <x:v>DISC-0809-0024</x:v>
      </x:c>
      <x:c r="B121" s="19" t="str">
        <x:v>软件工程</x:v>
      </x:c>
      <x:c r="C121" s="19" t="str">
        <x:v>中</x:v>
      </x:c>
      <x:c r="D121" s="19" t="str">
        <x:v>SB</x:v>
      </x:c>
      <x:c r="E121" s="19" t="str">
        <x:v>工程文档与 ADR</x:v>
      </x:c>
      <x:c r="F121" s="19" t="str">
        <x:v>B 软件工程</x:v>
      </x:c>
    </x:row>
    <x:row r="122">
      <x:c r="A122" s="19" t="str">
        <x:v>DISC-0809-0024</x:v>
      </x:c>
      <x:c r="B122" s="19" t="str">
        <x:v>网络工程</x:v>
      </x:c>
      <x:c r="C122" s="19" t="str">
        <x:v>中</x:v>
      </x:c>
      <x:c r="D122" s="19" t="str">
        <x:v>SB</x:v>
      </x:c>
      <x:c r="E122" s="19" t="str">
        <x:v>工程文档与 ADR</x:v>
      </x:c>
      <x:c r="F122" s="19" t="str">
        <x:v>B 软件工程</x:v>
      </x:c>
    </x:row>
    <x:row r="123">
      <x:c r="A123" s="19" t="str">
        <x:v>DISC-0809-0024</x:v>
      </x:c>
      <x:c r="B123" s="19" t="str">
        <x:v>电子与计算机工程</x:v>
      </x:c>
      <x:c r="C123" s="19" t="str">
        <x:v>中</x:v>
      </x:c>
      <x:c r="D123" s="19" t="str">
        <x:v>SB</x:v>
      </x:c>
      <x:c r="E123" s="19" t="str">
        <x:v>工程文档与 ADR</x:v>
      </x:c>
      <x:c r="F123" s="19" t="str">
        <x:v>B 软件工程</x:v>
      </x:c>
    </x:row>
    <x:row r="124">
      <x:c r="A124" s="19" t="str">
        <x:v>DISC-0809-0024</x:v>
      </x:c>
      <x:c r="B124" s="19" t="str">
        <x:v>新媒体技术</x:v>
      </x:c>
      <x:c r="C124" s="19" t="str">
        <x:v>中</x:v>
      </x:c>
      <x:c r="D124" s="19" t="str">
        <x:v>SB</x:v>
      </x:c>
      <x:c r="E124" s="19" t="str">
        <x:v>工程文档与 ADR</x:v>
      </x:c>
      <x:c r="F124" s="19" t="str">
        <x:v>B 软件工程</x:v>
      </x:c>
    </x:row>
    <x:row r="125">
      <x:c r="A125" s="19" t="str">
        <x:v>DISC-0809-0025</x:v>
      </x:c>
      <x:c r="B125" s="19" t="str">
        <x:v>计算机科学与技术</x:v>
      </x:c>
      <x:c r="C125" s="19" t="str">
        <x:v>中</x:v>
      </x:c>
      <x:c r="D125" s="19" t="str">
        <x:v>SB</x:v>
      </x:c>
      <x:c r="E125" s="19" t="str">
        <x:v>Git 工作流与版本管理</x:v>
      </x:c>
      <x:c r="F125" s="19" t="str">
        <x:v>B 软件工程</x:v>
      </x:c>
    </x:row>
    <x:row r="126">
      <x:c r="A126" s="19" t="str">
        <x:v>DISC-0809-0025</x:v>
      </x:c>
      <x:c r="B126" s="19" t="str">
        <x:v>软件工程</x:v>
      </x:c>
      <x:c r="C126" s="19" t="str">
        <x:v>中</x:v>
      </x:c>
      <x:c r="D126" s="19" t="str">
        <x:v>SB</x:v>
      </x:c>
      <x:c r="E126" s="19" t="str">
        <x:v>Git 工作流与版本管理</x:v>
      </x:c>
      <x:c r="F126" s="19" t="str">
        <x:v>B 软件工程</x:v>
      </x:c>
    </x:row>
    <x:row r="127">
      <x:c r="A127" s="19" t="str">
        <x:v>DISC-0809-0025</x:v>
      </x:c>
      <x:c r="B127" s="19" t="str">
        <x:v>网络工程</x:v>
      </x:c>
      <x:c r="C127" s="19" t="str">
        <x:v>中</x:v>
      </x:c>
      <x:c r="D127" s="19" t="str">
        <x:v>SB</x:v>
      </x:c>
      <x:c r="E127" s="19" t="str">
        <x:v>Git 工作流与版本管理</x:v>
      </x:c>
      <x:c r="F127" s="19" t="str">
        <x:v>B 软件工程</x:v>
      </x:c>
    </x:row>
    <x:row r="128">
      <x:c r="A128" s="19" t="str">
        <x:v>DISC-0809-0025</x:v>
      </x:c>
      <x:c r="B128" s="19" t="str">
        <x:v>电子与计算机工程</x:v>
      </x:c>
      <x:c r="C128" s="19" t="str">
        <x:v>中</x:v>
      </x:c>
      <x:c r="D128" s="19" t="str">
        <x:v>SB</x:v>
      </x:c>
      <x:c r="E128" s="19" t="str">
        <x:v>Git 工作流与版本管理</x:v>
      </x:c>
      <x:c r="F128" s="19" t="str">
        <x:v>B 软件工程</x:v>
      </x:c>
    </x:row>
    <x:row r="129">
      <x:c r="A129" s="19" t="str">
        <x:v>DISC-0809-0025</x:v>
      </x:c>
      <x:c r="B129" s="19" t="str">
        <x:v>新媒体技术</x:v>
      </x:c>
      <x:c r="C129" s="19" t="str">
        <x:v>中</x:v>
      </x:c>
      <x:c r="D129" s="19" t="str">
        <x:v>SB</x:v>
      </x:c>
      <x:c r="E129" s="19" t="str">
        <x:v>Git 工作流与版本管理</x:v>
      </x:c>
      <x:c r="F129" s="19" t="str">
        <x:v>B 软件工程</x:v>
      </x:c>
    </x:row>
    <x:row r="130">
      <x:c r="A130" s="19" t="str">
        <x:v>DISC-0809-0026</x:v>
      </x:c>
      <x:c r="B130" s="19" t="str">
        <x:v>计算机科学与技术</x:v>
      </x:c>
      <x:c r="C130" s="19" t="str">
        <x:v>中</x:v>
      </x:c>
      <x:c r="D130" s="19" t="str">
        <x:v>SB</x:v>
      </x:c>
      <x:c r="E130" s="19" t="str">
        <x:v>增量实现</x:v>
      </x:c>
      <x:c r="F130" s="19" t="str">
        <x:v>B 软件工程</x:v>
      </x:c>
    </x:row>
    <x:row r="131">
      <x:c r="A131" s="19" t="str">
        <x:v>DISC-0809-0026</x:v>
      </x:c>
      <x:c r="B131" s="19" t="str">
        <x:v>软件工程</x:v>
      </x:c>
      <x:c r="C131" s="19" t="str">
        <x:v>中</x:v>
      </x:c>
      <x:c r="D131" s="19" t="str">
        <x:v>SB</x:v>
      </x:c>
      <x:c r="E131" s="19" t="str">
        <x:v>增量实现</x:v>
      </x:c>
      <x:c r="F131" s="19" t="str">
        <x:v>B 软件工程</x:v>
      </x:c>
    </x:row>
    <x:row r="132">
      <x:c r="A132" s="19" t="str">
        <x:v>DISC-0809-0026</x:v>
      </x:c>
      <x:c r="B132" s="19" t="str">
        <x:v>网络工程</x:v>
      </x:c>
      <x:c r="C132" s="19" t="str">
        <x:v>中</x:v>
      </x:c>
      <x:c r="D132" s="19" t="str">
        <x:v>SB</x:v>
      </x:c>
      <x:c r="E132" s="19" t="str">
        <x:v>增量实现</x:v>
      </x:c>
      <x:c r="F132" s="19" t="str">
        <x:v>B 软件工程</x:v>
      </x:c>
    </x:row>
    <x:row r="133">
      <x:c r="A133" s="19" t="str">
        <x:v>DISC-0809-0026</x:v>
      </x:c>
      <x:c r="B133" s="19" t="str">
        <x:v>电子与计算机工程</x:v>
      </x:c>
      <x:c r="C133" s="19" t="str">
        <x:v>中</x:v>
      </x:c>
      <x:c r="D133" s="19" t="str">
        <x:v>SB</x:v>
      </x:c>
      <x:c r="E133" s="19" t="str">
        <x:v>增量实现</x:v>
      </x:c>
      <x:c r="F133" s="19" t="str">
        <x:v>B 软件工程</x:v>
      </x:c>
    </x:row>
    <x:row r="134">
      <x:c r="A134" s="19" t="str">
        <x:v>DISC-0809-0026</x:v>
      </x:c>
      <x:c r="B134" s="19" t="str">
        <x:v>新媒体技术</x:v>
      </x:c>
      <x:c r="C134" s="19" t="str">
        <x:v>中</x:v>
      </x:c>
      <x:c r="D134" s="19" t="str">
        <x:v>SB</x:v>
      </x:c>
      <x:c r="E134" s="19" t="str">
        <x:v>增量实现</x:v>
      </x:c>
      <x:c r="F134" s="19" t="str">
        <x:v>B 软件工程</x:v>
      </x:c>
    </x:row>
    <x:row r="135">
      <x:c r="A135" s="19" t="str">
        <x:v>DISC-0809-0027</x:v>
      </x:c>
      <x:c r="B135" s="19" t="str">
        <x:v>计算机科学与技术</x:v>
      </x:c>
      <x:c r="C135" s="19" t="str">
        <x:v>中</x:v>
      </x:c>
      <x:c r="D135" s="19" t="str">
        <x:v>SB</x:v>
      </x:c>
      <x:c r="E135" s="19" t="str">
        <x:v>可观测性与埋点</x:v>
      </x:c>
      <x:c r="F135" s="19" t="str">
        <x:v>B 软件工程</x:v>
      </x:c>
    </x:row>
    <x:row r="136">
      <x:c r="A136" s="19" t="str">
        <x:v>DISC-0809-0027</x:v>
      </x:c>
      <x:c r="B136" s="19" t="str">
        <x:v>软件工程</x:v>
      </x:c>
      <x:c r="C136" s="19" t="str">
        <x:v>中</x:v>
      </x:c>
      <x:c r="D136" s="19" t="str">
        <x:v>SB</x:v>
      </x:c>
      <x:c r="E136" s="19" t="str">
        <x:v>可观测性与埋点</x:v>
      </x:c>
      <x:c r="F136" s="19" t="str">
        <x:v>B 软件工程</x:v>
      </x:c>
    </x:row>
    <x:row r="137">
      <x:c r="A137" s="19" t="str">
        <x:v>DISC-0809-0027</x:v>
      </x:c>
      <x:c r="B137" s="19" t="str">
        <x:v>网络工程</x:v>
      </x:c>
      <x:c r="C137" s="19" t="str">
        <x:v>中</x:v>
      </x:c>
      <x:c r="D137" s="19" t="str">
        <x:v>SB</x:v>
      </x:c>
      <x:c r="E137" s="19" t="str">
        <x:v>可观测性与埋点</x:v>
      </x:c>
      <x:c r="F137" s="19" t="str">
        <x:v>B 软件工程</x:v>
      </x:c>
    </x:row>
    <x:row r="138">
      <x:c r="A138" s="19" t="str">
        <x:v>DISC-0809-0027</x:v>
      </x:c>
      <x:c r="B138" s="19" t="str">
        <x:v>电子与计算机工程</x:v>
      </x:c>
      <x:c r="C138" s="19" t="str">
        <x:v>中</x:v>
      </x:c>
      <x:c r="D138" s="19" t="str">
        <x:v>SB</x:v>
      </x:c>
      <x:c r="E138" s="19" t="str">
        <x:v>可观测性与埋点</x:v>
      </x:c>
      <x:c r="F138" s="19" t="str">
        <x:v>B 软件工程</x:v>
      </x:c>
    </x:row>
    <x:row r="139">
      <x:c r="A139" s="19" t="str">
        <x:v>DISC-0809-0027</x:v>
      </x:c>
      <x:c r="B139" s="19" t="str">
        <x:v>新媒体技术</x:v>
      </x:c>
      <x:c r="C139" s="19" t="str">
        <x:v>中</x:v>
      </x:c>
      <x:c r="D139" s="19" t="str">
        <x:v>SB</x:v>
      </x:c>
      <x:c r="E139" s="19" t="str">
        <x:v>可观测性与埋点</x:v>
      </x:c>
      <x:c r="F139" s="19" t="str">
        <x:v>B 软件工程</x:v>
      </x:c>
    </x:row>
    <x:row r="140">
      <x:c r="A140" s="19" t="str">
        <x:v>DISC-0809-0028</x:v>
      </x:c>
      <x:c r="B140" s="19" t="str">
        <x:v>计算机科学与技术</x:v>
      </x:c>
      <x:c r="C140" s="19" t="str">
        <x:v>中</x:v>
      </x:c>
      <x:c r="D140" s="19" t="str">
        <x:v>SB</x:v>
      </x:c>
      <x:c r="E140" s="19" t="str">
        <x:v>规格驱动开发</x:v>
      </x:c>
      <x:c r="F140" s="19" t="str">
        <x:v>B 软件工程</x:v>
      </x:c>
    </x:row>
    <x:row r="141">
      <x:c r="A141" s="19" t="str">
        <x:v>DISC-0809-0028</x:v>
      </x:c>
      <x:c r="B141" s="19" t="str">
        <x:v>软件工程</x:v>
      </x:c>
      <x:c r="C141" s="19" t="str">
        <x:v>中</x:v>
      </x:c>
      <x:c r="D141" s="19" t="str">
        <x:v>SB</x:v>
      </x:c>
      <x:c r="E141" s="19" t="str">
        <x:v>规格驱动开发</x:v>
      </x:c>
      <x:c r="F141" s="19" t="str">
        <x:v>B 软件工程</x:v>
      </x:c>
    </x:row>
    <x:row r="142">
      <x:c r="A142" s="19" t="str">
        <x:v>DISC-0809-0028</x:v>
      </x:c>
      <x:c r="B142" s="19" t="str">
        <x:v>网络工程</x:v>
      </x:c>
      <x:c r="C142" s="19" t="str">
        <x:v>中</x:v>
      </x:c>
      <x:c r="D142" s="19" t="str">
        <x:v>SB</x:v>
      </x:c>
      <x:c r="E142" s="19" t="str">
        <x:v>规格驱动开发</x:v>
      </x:c>
      <x:c r="F142" s="19" t="str">
        <x:v>B 软件工程</x:v>
      </x:c>
    </x:row>
    <x:row r="143">
      <x:c r="A143" s="19" t="str">
        <x:v>DISC-0809-0028</x:v>
      </x:c>
      <x:c r="B143" s="19" t="str">
        <x:v>电子与计算机工程</x:v>
      </x:c>
      <x:c r="C143" s="19" t="str">
        <x:v>中</x:v>
      </x:c>
      <x:c r="D143" s="19" t="str">
        <x:v>SB</x:v>
      </x:c>
      <x:c r="E143" s="19" t="str">
        <x:v>规格驱动开发</x:v>
      </x:c>
      <x:c r="F143" s="19" t="str">
        <x:v>B 软件工程</x:v>
      </x:c>
    </x:row>
    <x:row r="144">
      <x:c r="A144" s="19" t="str">
        <x:v>DISC-0809-0028</x:v>
      </x:c>
      <x:c r="B144" s="19" t="str">
        <x:v>新媒体技术</x:v>
      </x:c>
      <x:c r="C144" s="19" t="str">
        <x:v>中</x:v>
      </x:c>
      <x:c r="D144" s="19" t="str">
        <x:v>SB</x:v>
      </x:c>
      <x:c r="E144" s="19" t="str">
        <x:v>规格驱动开发</x:v>
      </x:c>
      <x:c r="F144" s="19" t="str">
        <x:v>B 软件工程</x:v>
      </x:c>
    </x:row>
    <x:row r="145">
      <x:c r="A145" s="19" t="str">
        <x:v>DISC-0809-0029</x:v>
      </x:c>
      <x:c r="B145" s="19" t="str">
        <x:v>计算机科学与技术</x:v>
      </x:c>
      <x:c r="C145" s="19" t="str">
        <x:v>高</x:v>
      </x:c>
      <x:c r="D145" s="19" t="str">
        <x:v>SB</x:v>
      </x:c>
      <x:c r="E145" s="19" t="str">
        <x:v>测试驱动开发</x:v>
      </x:c>
      <x:c r="F145" s="19" t="str">
        <x:v>B 软件工程</x:v>
      </x:c>
    </x:row>
    <x:row r="146">
      <x:c r="A146" s="19" t="str">
        <x:v>DISC-0809-0029</x:v>
      </x:c>
      <x:c r="B146" s="19" t="str">
        <x:v>软件工程</x:v>
      </x:c>
      <x:c r="C146" s="19" t="str">
        <x:v>高</x:v>
      </x:c>
      <x:c r="D146" s="19" t="str">
        <x:v>SB</x:v>
      </x:c>
      <x:c r="E146" s="19" t="str">
        <x:v>测试驱动开发</x:v>
      </x:c>
      <x:c r="F146" s="19" t="str">
        <x:v>B 软件工程</x:v>
      </x:c>
    </x:row>
    <x:row r="147">
      <x:c r="A147" s="19" t="str">
        <x:v>DISC-0809-0029</x:v>
      </x:c>
      <x:c r="B147" s="19" t="str">
        <x:v>网络工程</x:v>
      </x:c>
      <x:c r="C147" s="19" t="str">
        <x:v>高</x:v>
      </x:c>
      <x:c r="D147" s="19" t="str">
        <x:v>SB</x:v>
      </x:c>
      <x:c r="E147" s="19" t="str">
        <x:v>测试驱动开发</x:v>
      </x:c>
      <x:c r="F147" s="19" t="str">
        <x:v>B 软件工程</x:v>
      </x:c>
    </x:row>
    <x:row r="148">
      <x:c r="A148" s="19" t="str">
        <x:v>DISC-0809-0029</x:v>
      </x:c>
      <x:c r="B148" s="19" t="str">
        <x:v>电子与计算机工程</x:v>
      </x:c>
      <x:c r="C148" s="19" t="str">
        <x:v>高</x:v>
      </x:c>
      <x:c r="D148" s="19" t="str">
        <x:v>SB</x:v>
      </x:c>
      <x:c r="E148" s="19" t="str">
        <x:v>测试驱动开发</x:v>
      </x:c>
      <x:c r="F148" s="19" t="str">
        <x:v>B 软件工程</x:v>
      </x:c>
    </x:row>
    <x:row r="149">
      <x:c r="A149" s="19" t="str">
        <x:v>DISC-0809-0029</x:v>
      </x:c>
      <x:c r="B149" s="19" t="str">
        <x:v>新媒体技术</x:v>
      </x:c>
      <x:c r="C149" s="19" t="str">
        <x:v>高</x:v>
      </x:c>
      <x:c r="D149" s="19" t="str">
        <x:v>SB</x:v>
      </x:c>
      <x:c r="E149" s="19" t="str">
        <x:v>测试驱动开发</x:v>
      </x:c>
      <x:c r="F149" s="19" t="str">
        <x:v>B 软件工程</x:v>
      </x:c>
    </x:row>
    <x:row r="150">
      <x:c r="A150" s="19" t="str">
        <x:v>DISC-0809-0030</x:v>
      </x:c>
      <x:c r="B150" s="19" t="str">
        <x:v>计算机科学与技术</x:v>
      </x:c>
      <x:c r="C150" s="19" t="str">
        <x:v>高</x:v>
      </x:c>
      <x:c r="D150" s="19" t="str">
        <x:v>SB</x:v>
      </x:c>
      <x:c r="E150" s="19" t="str">
        <x:v>系统化调试</x:v>
      </x:c>
      <x:c r="F150" s="19" t="str">
        <x:v>B 软件工程</x:v>
      </x:c>
    </x:row>
    <x:row r="151">
      <x:c r="A151" s="19" t="str">
        <x:v>DISC-0809-0030</x:v>
      </x:c>
      <x:c r="B151" s="19" t="str">
        <x:v>软件工程</x:v>
      </x:c>
      <x:c r="C151" s="19" t="str">
        <x:v>高</x:v>
      </x:c>
      <x:c r="D151" s="19" t="str">
        <x:v>SB</x:v>
      </x:c>
      <x:c r="E151" s="19" t="str">
        <x:v>系统化调试</x:v>
      </x:c>
      <x:c r="F151" s="19" t="str">
        <x:v>B 软件工程</x:v>
      </x:c>
    </x:row>
    <x:row r="152">
      <x:c r="A152" s="19" t="str">
        <x:v>DISC-0809-0030</x:v>
      </x:c>
      <x:c r="B152" s="19" t="str">
        <x:v>网络工程</x:v>
      </x:c>
      <x:c r="C152" s="19" t="str">
        <x:v>高</x:v>
      </x:c>
      <x:c r="D152" s="19" t="str">
        <x:v>SB</x:v>
      </x:c>
      <x:c r="E152" s="19" t="str">
        <x:v>系统化调试</x:v>
      </x:c>
      <x:c r="F152" s="19" t="str">
        <x:v>B 软件工程</x:v>
      </x:c>
    </x:row>
    <x:row r="153">
      <x:c r="A153" s="19" t="str">
        <x:v>DISC-0809-0030</x:v>
      </x:c>
      <x:c r="B153" s="19" t="str">
        <x:v>电子与计算机工程</x:v>
      </x:c>
      <x:c r="C153" s="19" t="str">
        <x:v>高</x:v>
      </x:c>
      <x:c r="D153" s="19" t="str">
        <x:v>SB</x:v>
      </x:c>
      <x:c r="E153" s="19" t="str">
        <x:v>系统化调试</x:v>
      </x:c>
      <x:c r="F153" s="19" t="str">
        <x:v>B 软件工程</x:v>
      </x:c>
    </x:row>
    <x:row r="154">
      <x:c r="A154" s="19" t="str">
        <x:v>DISC-0809-0030</x:v>
      </x:c>
      <x:c r="B154" s="19" t="str">
        <x:v>新媒体技术</x:v>
      </x:c>
      <x:c r="C154" s="19" t="str">
        <x:v>高</x:v>
      </x:c>
      <x:c r="D154" s="19" t="str">
        <x:v>SB</x:v>
      </x:c>
      <x:c r="E154" s="19" t="str">
        <x:v>系统化调试</x:v>
      </x:c>
      <x:c r="F154" s="19" t="str">
        <x:v>B 软件工程</x:v>
      </x:c>
    </x:row>
    <x:row r="155">
      <x:c r="A155" s="19" t="str">
        <x:v>DISC-0809-0031</x:v>
      </x:c>
      <x:c r="B155" s="19" t="str">
        <x:v>计算机科学与技术</x:v>
      </x:c>
      <x:c r="C155" s="19" t="str">
        <x:v>高</x:v>
      </x:c>
      <x:c r="D155" s="19" t="str">
        <x:v>SB</x:v>
      </x:c>
      <x:c r="E155" s="19" t="str">
        <x:v>测试驱动开发</x:v>
      </x:c>
      <x:c r="F155" s="19" t="str">
        <x:v>B 软件工程</x:v>
      </x:c>
    </x:row>
    <x:row r="156">
      <x:c r="A156" s="19" t="str">
        <x:v>DISC-0809-0031</x:v>
      </x:c>
      <x:c r="B156" s="19" t="str">
        <x:v>软件工程</x:v>
      </x:c>
      <x:c r="C156" s="19" t="str">
        <x:v>高</x:v>
      </x:c>
      <x:c r="D156" s="19" t="str">
        <x:v>SB</x:v>
      </x:c>
      <x:c r="E156" s="19" t="str">
        <x:v>测试驱动开发</x:v>
      </x:c>
      <x:c r="F156" s="19" t="str">
        <x:v>B 软件工程</x:v>
      </x:c>
    </x:row>
    <x:row r="157">
      <x:c r="A157" s="19" t="str">
        <x:v>DISC-0809-0031</x:v>
      </x:c>
      <x:c r="B157" s="19" t="str">
        <x:v>网络工程</x:v>
      </x:c>
      <x:c r="C157" s="19" t="str">
        <x:v>高</x:v>
      </x:c>
      <x:c r="D157" s="19" t="str">
        <x:v>SB</x:v>
      </x:c>
      <x:c r="E157" s="19" t="str">
        <x:v>测试驱动开发</x:v>
      </x:c>
      <x:c r="F157" s="19" t="str">
        <x:v>B 软件工程</x:v>
      </x:c>
    </x:row>
    <x:row r="158">
      <x:c r="A158" s="19" t="str">
        <x:v>DISC-0809-0031</x:v>
      </x:c>
      <x:c r="B158" s="19" t="str">
        <x:v>电子与计算机工程</x:v>
      </x:c>
      <x:c r="C158" s="19" t="str">
        <x:v>高</x:v>
      </x:c>
      <x:c r="D158" s="19" t="str">
        <x:v>SB</x:v>
      </x:c>
      <x:c r="E158" s="19" t="str">
        <x:v>测试驱动开发</x:v>
      </x:c>
      <x:c r="F158" s="19" t="str">
        <x:v>B 软件工程</x:v>
      </x:c>
    </x:row>
    <x:row r="159">
      <x:c r="A159" s="19" t="str">
        <x:v>DISC-0809-0031</x:v>
      </x:c>
      <x:c r="B159" s="19" t="str">
        <x:v>新媒体技术</x:v>
      </x:c>
      <x:c r="C159" s="19" t="str">
        <x:v>高</x:v>
      </x:c>
      <x:c r="D159" s="19" t="str">
        <x:v>SB</x:v>
      </x:c>
      <x:c r="E159" s="19" t="str">
        <x:v>测试驱动开发</x:v>
      </x:c>
      <x:c r="F159" s="19" t="str">
        <x:v>B 软件工程</x:v>
      </x:c>
    </x:row>
    <x:row r="160">
      <x:c r="A160" s="19" t="str">
        <x:v>DISC-0809-0032</x:v>
      </x:c>
      <x:c r="B160" s="19" t="str">
        <x:v>计算机科学与技术</x:v>
      </x:c>
      <x:c r="C160" s="19" t="str">
        <x:v>中</x:v>
      </x:c>
      <x:c r="D160" s="19" t="str">
        <x:v>SA</x:v>
      </x:c>
      <x:c r="E160" s="19" t="str">
        <x:v>边缘计算</x:v>
      </x:c>
      <x:c r="F160" s="19" t="str">
        <x:v>B 软件工程</x:v>
      </x:c>
    </x:row>
    <x:row r="161">
      <x:c r="A161" s="19" t="str">
        <x:v>DISC-0809-0032</x:v>
      </x:c>
      <x:c r="B161" s="19" t="str">
        <x:v>软件工程</x:v>
      </x:c>
      <x:c r="C161" s="19" t="str">
        <x:v>中</x:v>
      </x:c>
      <x:c r="D161" s="19" t="str">
        <x:v>SA</x:v>
      </x:c>
      <x:c r="E161" s="19" t="str">
        <x:v>边缘计算</x:v>
      </x:c>
      <x:c r="F161" s="19" t="str">
        <x:v>B 软件工程</x:v>
      </x:c>
    </x:row>
    <x:row r="162">
      <x:c r="A162" s="19" t="str">
        <x:v>DISC-0809-0032</x:v>
      </x:c>
      <x:c r="B162" s="19" t="str">
        <x:v>网络工程</x:v>
      </x:c>
      <x:c r="C162" s="19" t="str">
        <x:v>中</x:v>
      </x:c>
      <x:c r="D162" s="19" t="str">
        <x:v>SA</x:v>
      </x:c>
      <x:c r="E162" s="19" t="str">
        <x:v>边缘计算</x:v>
      </x:c>
      <x:c r="F162" s="19" t="str">
        <x:v>B 软件工程</x:v>
      </x:c>
    </x:row>
    <x:row r="163">
      <x:c r="A163" s="19" t="str">
        <x:v>DISC-0809-0032</x:v>
      </x:c>
      <x:c r="B163" s="19" t="str">
        <x:v>电子与计算机工程</x:v>
      </x:c>
      <x:c r="C163" s="19" t="str">
        <x:v>中</x:v>
      </x:c>
      <x:c r="D163" s="19" t="str">
        <x:v>SA</x:v>
      </x:c>
      <x:c r="E163" s="19" t="str">
        <x:v>边缘计算</x:v>
      </x:c>
      <x:c r="F163" s="19" t="str">
        <x:v>B 软件工程</x:v>
      </x:c>
    </x:row>
    <x:row r="164">
      <x:c r="A164" s="19" t="str">
        <x:v>DISC-0809-0032</x:v>
      </x:c>
      <x:c r="B164" s="19" t="str">
        <x:v>新媒体技术</x:v>
      </x:c>
      <x:c r="C164" s="19" t="str">
        <x:v>中</x:v>
      </x:c>
      <x:c r="D164" s="19" t="str">
        <x:v>SA</x:v>
      </x:c>
      <x:c r="E164" s="19" t="str">
        <x:v>边缘计算</x:v>
      </x:c>
      <x:c r="F164" s="19" t="str">
        <x:v>B 软件工程</x:v>
      </x:c>
    </x:row>
    <x:row r="165">
      <x:c r="A165" s="19" t="str">
        <x:v>DISC-0809-0033</x:v>
      </x:c>
      <x:c r="B165" s="19" t="str">
        <x:v>计算机科学与技术</x:v>
      </x:c>
      <x:c r="C165" s="19" t="str">
        <x:v>中</x:v>
      </x:c>
      <x:c r="D165" s="19" t="str">
        <x:v>SA</x:v>
      </x:c>
      <x:c r="E165" s="19" t="str">
        <x:v>API 设计原则</x:v>
      </x:c>
      <x:c r="F165" s="19" t="str">
        <x:v>B 软件工程</x:v>
      </x:c>
    </x:row>
    <x:row r="166">
      <x:c r="A166" s="19" t="str">
        <x:v>DISC-0809-0033</x:v>
      </x:c>
      <x:c r="B166" s="19" t="str">
        <x:v>软件工程</x:v>
      </x:c>
      <x:c r="C166" s="19" t="str">
        <x:v>中</x:v>
      </x:c>
      <x:c r="D166" s="19" t="str">
        <x:v>SA</x:v>
      </x:c>
      <x:c r="E166" s="19" t="str">
        <x:v>API 设计原则</x:v>
      </x:c>
      <x:c r="F166" s="19" t="str">
        <x:v>B 软件工程</x:v>
      </x:c>
    </x:row>
    <x:row r="167">
      <x:c r="A167" s="19" t="str">
        <x:v>DISC-0809-0033</x:v>
      </x:c>
      <x:c r="B167" s="19" t="str">
        <x:v>网络工程</x:v>
      </x:c>
      <x:c r="C167" s="19" t="str">
        <x:v>中</x:v>
      </x:c>
      <x:c r="D167" s="19" t="str">
        <x:v>SA</x:v>
      </x:c>
      <x:c r="E167" s="19" t="str">
        <x:v>API 设计原则</x:v>
      </x:c>
      <x:c r="F167" s="19" t="str">
        <x:v>B 软件工程</x:v>
      </x:c>
    </x:row>
    <x:row r="168">
      <x:c r="A168" s="19" t="str">
        <x:v>DISC-0809-0033</x:v>
      </x:c>
      <x:c r="B168" s="19" t="str">
        <x:v>电子与计算机工程</x:v>
      </x:c>
      <x:c r="C168" s="19" t="str">
        <x:v>中</x:v>
      </x:c>
      <x:c r="D168" s="19" t="str">
        <x:v>SA</x:v>
      </x:c>
      <x:c r="E168" s="19" t="str">
        <x:v>API 设计原则</x:v>
      </x:c>
      <x:c r="F168" s="19" t="str">
        <x:v>B 软件工程</x:v>
      </x:c>
    </x:row>
    <x:row r="169">
      <x:c r="A169" s="19" t="str">
        <x:v>DISC-0809-0033</x:v>
      </x:c>
      <x:c r="B169" s="19" t="str">
        <x:v>新媒体技术</x:v>
      </x:c>
      <x:c r="C169" s="19" t="str">
        <x:v>中</x:v>
      </x:c>
      <x:c r="D169" s="19" t="str">
        <x:v>SA</x:v>
      </x:c>
      <x:c r="E169" s="19" t="str">
        <x:v>API 设计原则</x:v>
      </x:c>
      <x:c r="F169" s="19" t="str">
        <x:v>B 软件工程</x:v>
      </x:c>
    </x:row>
    <x:row r="170">
      <x:c r="A170" s="19" t="str">
        <x:v>DISC-0809-0034</x:v>
      </x:c>
      <x:c r="B170" s="19" t="str">
        <x:v>计算机科学与技术</x:v>
      </x:c>
      <x:c r="C170" s="19" t="str">
        <x:v>中</x:v>
      </x:c>
      <x:c r="D170" s="19" t="str">
        <x:v>SA</x:v>
      </x:c>
      <x:c r="E170" s="19" t="str">
        <x:v>架构决策记录</x:v>
      </x:c>
      <x:c r="F170" s="19" t="str">
        <x:v>B 软件工程</x:v>
      </x:c>
    </x:row>
    <x:row r="171">
      <x:c r="A171" s="19" t="str">
        <x:v>DISC-0809-0034</x:v>
      </x:c>
      <x:c r="B171" s="19" t="str">
        <x:v>软件工程</x:v>
      </x:c>
      <x:c r="C171" s="19" t="str">
        <x:v>中</x:v>
      </x:c>
      <x:c r="D171" s="19" t="str">
        <x:v>SA</x:v>
      </x:c>
      <x:c r="E171" s="19" t="str">
        <x:v>架构决策记录</x:v>
      </x:c>
      <x:c r="F171" s="19" t="str">
        <x:v>B 软件工程</x:v>
      </x:c>
    </x:row>
    <x:row r="172">
      <x:c r="A172" s="19" t="str">
        <x:v>DISC-0809-0034</x:v>
      </x:c>
      <x:c r="B172" s="19" t="str">
        <x:v>网络工程</x:v>
      </x:c>
      <x:c r="C172" s="19" t="str">
        <x:v>中</x:v>
      </x:c>
      <x:c r="D172" s="19" t="str">
        <x:v>SA</x:v>
      </x:c>
      <x:c r="E172" s="19" t="str">
        <x:v>架构决策记录</x:v>
      </x:c>
      <x:c r="F172" s="19" t="str">
        <x:v>B 软件工程</x:v>
      </x:c>
    </x:row>
    <x:row r="173">
      <x:c r="A173" s="19" t="str">
        <x:v>DISC-0809-0034</x:v>
      </x:c>
      <x:c r="B173" s="19" t="str">
        <x:v>电子与计算机工程</x:v>
      </x:c>
      <x:c r="C173" s="19" t="str">
        <x:v>中</x:v>
      </x:c>
      <x:c r="D173" s="19" t="str">
        <x:v>SA</x:v>
      </x:c>
      <x:c r="E173" s="19" t="str">
        <x:v>架构决策记录</x:v>
      </x:c>
      <x:c r="F173" s="19" t="str">
        <x:v>B 软件工程</x:v>
      </x:c>
    </x:row>
    <x:row r="174">
      <x:c r="A174" s="19" t="str">
        <x:v>DISC-0809-0034</x:v>
      </x:c>
      <x:c r="B174" s="19" t="str">
        <x:v>新媒体技术</x:v>
      </x:c>
      <x:c r="C174" s="19" t="str">
        <x:v>中</x:v>
      </x:c>
      <x:c r="D174" s="19" t="str">
        <x:v>SA</x:v>
      </x:c>
      <x:c r="E174" s="19" t="str">
        <x:v>架构决策记录</x:v>
      </x:c>
      <x:c r="F174" s="19" t="str">
        <x:v>B 软件工程</x:v>
      </x:c>
    </x:row>
    <x:row r="175">
      <x:c r="A175" s="19" t="str">
        <x:v>DISC-0809-0035</x:v>
      </x:c>
      <x:c r="B175" s="19" t="str">
        <x:v>计算机科学与技术</x:v>
      </x:c>
      <x:c r="C175" s="19" t="str">
        <x:v>中</x:v>
      </x:c>
      <x:c r="D175" s="19" t="str">
        <x:v>SA</x:v>
      </x:c>
      <x:c r="E175" s="19" t="str">
        <x:v>软件架构模式</x:v>
      </x:c>
      <x:c r="F175" s="19" t="str">
        <x:v>B 软件工程</x:v>
      </x:c>
    </x:row>
    <x:row r="176">
      <x:c r="A176" s="19" t="str">
        <x:v>DISC-0809-0035</x:v>
      </x:c>
      <x:c r="B176" s="19" t="str">
        <x:v>软件工程</x:v>
      </x:c>
      <x:c r="C176" s="19" t="str">
        <x:v>中</x:v>
      </x:c>
      <x:c r="D176" s="19" t="str">
        <x:v>SA</x:v>
      </x:c>
      <x:c r="E176" s="19" t="str">
        <x:v>软件架构模式</x:v>
      </x:c>
      <x:c r="F176" s="19" t="str">
        <x:v>B 软件工程</x:v>
      </x:c>
    </x:row>
    <x:row r="177">
      <x:c r="A177" s="19" t="str">
        <x:v>DISC-0809-0035</x:v>
      </x:c>
      <x:c r="B177" s="19" t="str">
        <x:v>网络工程</x:v>
      </x:c>
      <x:c r="C177" s="19" t="str">
        <x:v>中</x:v>
      </x:c>
      <x:c r="D177" s="19" t="str">
        <x:v>SA</x:v>
      </x:c>
      <x:c r="E177" s="19" t="str">
        <x:v>软件架构模式</x:v>
      </x:c>
      <x:c r="F177" s="19" t="str">
        <x:v>B 软件工程</x:v>
      </x:c>
    </x:row>
    <x:row r="178">
      <x:c r="A178" s="19" t="str">
        <x:v>DISC-0809-0035</x:v>
      </x:c>
      <x:c r="B178" s="19" t="str">
        <x:v>电子与计算机工程</x:v>
      </x:c>
      <x:c r="C178" s="19" t="str">
        <x:v>中</x:v>
      </x:c>
      <x:c r="D178" s="19" t="str">
        <x:v>SA</x:v>
      </x:c>
      <x:c r="E178" s="19" t="str">
        <x:v>软件架构模式</x:v>
      </x:c>
      <x:c r="F178" s="19" t="str">
        <x:v>B 软件工程</x:v>
      </x:c>
    </x:row>
    <x:row r="179">
      <x:c r="A179" s="19" t="str">
        <x:v>DISC-0809-0035</x:v>
      </x:c>
      <x:c r="B179" s="19" t="str">
        <x:v>新媒体技术</x:v>
      </x:c>
      <x:c r="C179" s="19" t="str">
        <x:v>中</x:v>
      </x:c>
      <x:c r="D179" s="19" t="str">
        <x:v>SA</x:v>
      </x:c>
      <x:c r="E179" s="19" t="str">
        <x:v>软件架构模式</x:v>
      </x:c>
      <x:c r="F179" s="19" t="str">
        <x:v>B 软件工程</x:v>
      </x:c>
    </x:row>
    <x:row r="180">
      <x:c r="A180" s="19" t="str">
        <x:v>DISC-0809-0036</x:v>
      </x:c>
      <x:c r="B180" s="19" t="str">
        <x:v>计算机科学与技术</x:v>
      </x:c>
      <x:c r="C180" s="19" t="str">
        <x:v>中</x:v>
      </x:c>
      <x:c r="D180" s="19" t="str">
        <x:v>SA</x:v>
      </x:c>
      <x:c r="E180" s="19" t="str">
        <x:v>高质量代码审查</x:v>
      </x:c>
      <x:c r="F180" s="19" t="str">
        <x:v>B 软件工程</x:v>
      </x:c>
    </x:row>
    <x:row r="181">
      <x:c r="A181" s="19" t="str">
        <x:v>DISC-0809-0036</x:v>
      </x:c>
      <x:c r="B181" s="19" t="str">
        <x:v>软件工程</x:v>
      </x:c>
      <x:c r="C181" s="19" t="str">
        <x:v>中</x:v>
      </x:c>
      <x:c r="D181" s="19" t="str">
        <x:v>SA</x:v>
      </x:c>
      <x:c r="E181" s="19" t="str">
        <x:v>高质量代码审查</x:v>
      </x:c>
      <x:c r="F181" s="19" t="str">
        <x:v>B 软件工程</x:v>
      </x:c>
    </x:row>
    <x:row r="182">
      <x:c r="A182" s="19" t="str">
        <x:v>DISC-0809-0036</x:v>
      </x:c>
      <x:c r="B182" s="19" t="str">
        <x:v>网络工程</x:v>
      </x:c>
      <x:c r="C182" s="19" t="str">
        <x:v>中</x:v>
      </x:c>
      <x:c r="D182" s="19" t="str">
        <x:v>SA</x:v>
      </x:c>
      <x:c r="E182" s="19" t="str">
        <x:v>高质量代码审查</x:v>
      </x:c>
      <x:c r="F182" s="19" t="str">
        <x:v>B 软件工程</x:v>
      </x:c>
    </x:row>
    <x:row r="183">
      <x:c r="A183" s="19" t="str">
        <x:v>DISC-0809-0036</x:v>
      </x:c>
      <x:c r="B183" s="19" t="str">
        <x:v>电子与计算机工程</x:v>
      </x:c>
      <x:c r="C183" s="19" t="str">
        <x:v>中</x:v>
      </x:c>
      <x:c r="D183" s="19" t="str">
        <x:v>SA</x:v>
      </x:c>
      <x:c r="E183" s="19" t="str">
        <x:v>高质量代码审查</x:v>
      </x:c>
      <x:c r="F183" s="19" t="str">
        <x:v>B 软件工程</x:v>
      </x:c>
    </x:row>
    <x:row r="184">
      <x:c r="A184" s="19" t="str">
        <x:v>DISC-0809-0036</x:v>
      </x:c>
      <x:c r="B184" s="19" t="str">
        <x:v>新媒体技术</x:v>
      </x:c>
      <x:c r="C184" s="19" t="str">
        <x:v>中</x:v>
      </x:c>
      <x:c r="D184" s="19" t="str">
        <x:v>SA</x:v>
      </x:c>
      <x:c r="E184" s="19" t="str">
        <x:v>高质量代码审查</x:v>
      </x:c>
      <x:c r="F184" s="19" t="str">
        <x:v>B 软件工程</x:v>
      </x:c>
    </x:row>
    <x:row r="185">
      <x:c r="A185" s="19" t="str">
        <x:v>DISC-0809-0037</x:v>
      </x:c>
      <x:c r="B185" s="19" t="str">
        <x:v>计算机科学与技术</x:v>
      </x:c>
      <x:c r="C185" s="19" t="str">
        <x:v>中</x:v>
      </x:c>
      <x:c r="D185" s="19" t="str">
        <x:v>SB-A</x:v>
      </x:c>
      <x:c r="E185" s="19" t="str">
        <x:v>端到端测试模式</x:v>
      </x:c>
      <x:c r="F185" s="19" t="str">
        <x:v>B 软件工程</x:v>
      </x:c>
    </x:row>
    <x:row r="186">
      <x:c r="A186" s="19" t="str">
        <x:v>DISC-0809-0037</x:v>
      </x:c>
      <x:c r="B186" s="19" t="str">
        <x:v>软件工程</x:v>
      </x:c>
      <x:c r="C186" s="19" t="str">
        <x:v>中</x:v>
      </x:c>
      <x:c r="D186" s="19" t="str">
        <x:v>SB-A</x:v>
      </x:c>
      <x:c r="E186" s="19" t="str">
        <x:v>端到端测试模式</x:v>
      </x:c>
      <x:c r="F186" s="19" t="str">
        <x:v>B 软件工程</x:v>
      </x:c>
    </x:row>
    <x:row r="187">
      <x:c r="A187" s="19" t="str">
        <x:v>DISC-0809-0037</x:v>
      </x:c>
      <x:c r="B187" s="19" t="str">
        <x:v>网络工程</x:v>
      </x:c>
      <x:c r="C187" s="19" t="str">
        <x:v>中</x:v>
      </x:c>
      <x:c r="D187" s="19" t="str">
        <x:v>SB-A</x:v>
      </x:c>
      <x:c r="E187" s="19" t="str">
        <x:v>端到端测试模式</x:v>
      </x:c>
      <x:c r="F187" s="19" t="str">
        <x:v>B 软件工程</x:v>
      </x:c>
    </x:row>
    <x:row r="188">
      <x:c r="A188" s="19" t="str">
        <x:v>DISC-0809-0037</x:v>
      </x:c>
      <x:c r="B188" s="19" t="str">
        <x:v>电子与计算机工程</x:v>
      </x:c>
      <x:c r="C188" s="19" t="str">
        <x:v>中</x:v>
      </x:c>
      <x:c r="D188" s="19" t="str">
        <x:v>SB-A</x:v>
      </x:c>
      <x:c r="E188" s="19" t="str">
        <x:v>端到端测试模式</x:v>
      </x:c>
      <x:c r="F188" s="19" t="str">
        <x:v>B 软件工程</x:v>
      </x:c>
    </x:row>
    <x:row r="189">
      <x:c r="A189" s="19" t="str">
        <x:v>DISC-0809-0037</x:v>
      </x:c>
      <x:c r="B189" s="19" t="str">
        <x:v>新媒体技术</x:v>
      </x:c>
      <x:c r="C189" s="19" t="str">
        <x:v>中</x:v>
      </x:c>
      <x:c r="D189" s="19" t="str">
        <x:v>SB-A</x:v>
      </x:c>
      <x:c r="E189" s="19" t="str">
        <x:v>端到端测试模式</x:v>
      </x:c>
      <x:c r="F189" s="19" t="str">
        <x:v>B 软件工程</x:v>
      </x:c>
    </x:row>
    <x:row r="190">
      <x:c r="A190" s="19" t="str">
        <x:v>DISC-0809-0038</x:v>
      </x:c>
      <x:c r="B190" s="19" t="str">
        <x:v>计算机科学与技术</x:v>
      </x:c>
      <x:c r="C190" s="19" t="str">
        <x:v>中</x:v>
      </x:c>
      <x:c r="D190" s="19" t="str">
        <x:v>SA</x:v>
      </x:c>
      <x:c r="E190" s="19" t="str">
        <x:v>OpenAPI 规范生成</x:v>
      </x:c>
      <x:c r="F190" s="19" t="str">
        <x:v>B 软件工程</x:v>
      </x:c>
    </x:row>
    <x:row r="191">
      <x:c r="A191" s="19" t="str">
        <x:v>DISC-0809-0038</x:v>
      </x:c>
      <x:c r="B191" s="19" t="str">
        <x:v>软件工程</x:v>
      </x:c>
      <x:c r="C191" s="19" t="str">
        <x:v>中</x:v>
      </x:c>
      <x:c r="D191" s="19" t="str">
        <x:v>SA</x:v>
      </x:c>
      <x:c r="E191" s="19" t="str">
        <x:v>OpenAPI 规范生成</x:v>
      </x:c>
      <x:c r="F191" s="19" t="str">
        <x:v>B 软件工程</x:v>
      </x:c>
    </x:row>
    <x:row r="192">
      <x:c r="A192" s="19" t="str">
        <x:v>DISC-0809-0038</x:v>
      </x:c>
      <x:c r="B192" s="19" t="str">
        <x:v>网络工程</x:v>
      </x:c>
      <x:c r="C192" s="19" t="str">
        <x:v>中</x:v>
      </x:c>
      <x:c r="D192" s="19" t="str">
        <x:v>SA</x:v>
      </x:c>
      <x:c r="E192" s="19" t="str">
        <x:v>OpenAPI 规范生成</x:v>
      </x:c>
      <x:c r="F192" s="19" t="str">
        <x:v>B 软件工程</x:v>
      </x:c>
    </x:row>
    <x:row r="193">
      <x:c r="A193" s="19" t="str">
        <x:v>DISC-0809-0038</x:v>
      </x:c>
      <x:c r="B193" s="19" t="str">
        <x:v>电子与计算机工程</x:v>
      </x:c>
      <x:c r="C193" s="19" t="str">
        <x:v>中</x:v>
      </x:c>
      <x:c r="D193" s="19" t="str">
        <x:v>SA</x:v>
      </x:c>
      <x:c r="E193" s="19" t="str">
        <x:v>OpenAPI 规范生成</x:v>
      </x:c>
      <x:c r="F193" s="19" t="str">
        <x:v>B 软件工程</x:v>
      </x:c>
    </x:row>
    <x:row r="194">
      <x:c r="A194" s="19" t="str">
        <x:v>DISC-0809-0038</x:v>
      </x:c>
      <x:c r="B194" s="19" t="str">
        <x:v>新媒体技术</x:v>
      </x:c>
      <x:c r="C194" s="19" t="str">
        <x:v>中</x:v>
      </x:c>
      <x:c r="D194" s="19" t="str">
        <x:v>SA</x:v>
      </x:c>
      <x:c r="E194" s="19" t="str">
        <x:v>OpenAPI 规范生成</x:v>
      </x:c>
      <x:c r="F194" s="19" t="str">
        <x:v>B 软件工程</x:v>
      </x:c>
    </x:row>
    <x:row r="195">
      <x:c r="A195" s="19" t="str">
        <x:v>DISC-0809-0039</x:v>
      </x:c>
      <x:c r="B195" s="19" t="str">
        <x:v>网络工程</x:v>
      </x:c>
      <x:c r="C195" s="19" t="str">
        <x:v>高</x:v>
      </x:c>
      <x:c r="D195" s="19" t="str">
        <x:v>SB</x:v>
      </x:c>
      <x:c r="E195" s="19" t="str">
        <x:v>安全加固</x:v>
      </x:c>
      <x:c r="F195" s="19" t="str">
        <x:v>C 网络安全</x:v>
      </x:c>
    </x:row>
    <x:row r="196">
      <x:c r="A196" s="19" t="str">
        <x:v>DISC-0809-0039</x:v>
      </x:c>
      <x:c r="B196" s="19" t="str">
        <x:v>信息安全</x:v>
      </x:c>
      <x:c r="C196" s="19" t="str">
        <x:v>高</x:v>
      </x:c>
      <x:c r="D196" s="19" t="str">
        <x:v>SB</x:v>
      </x:c>
      <x:c r="E196" s="19" t="str">
        <x:v>安全加固</x:v>
      </x:c>
      <x:c r="F196" s="19" t="str">
        <x:v>C 网络安全</x:v>
      </x:c>
    </x:row>
    <x:row r="197">
      <x:c r="A197" s="19" t="str">
        <x:v>DISC-0809-0039</x:v>
      </x:c>
      <x:c r="B197" s="19" t="str">
        <x:v>网络空间安全</x:v>
      </x:c>
      <x:c r="C197" s="19" t="str">
        <x:v>高</x:v>
      </x:c>
      <x:c r="D197" s="19" t="str">
        <x:v>SB</x:v>
      </x:c>
      <x:c r="E197" s="19" t="str">
        <x:v>安全加固</x:v>
      </x:c>
      <x:c r="F197" s="19" t="str">
        <x:v>C 网络安全</x:v>
      </x:c>
    </x:row>
    <x:row r="198">
      <x:c r="A198" s="19" t="str">
        <x:v>DISC-0809-0039</x:v>
      </x:c>
      <x:c r="B198" s="19" t="str">
        <x:v>物联网工程</x:v>
      </x:c>
      <x:c r="C198" s="19" t="str">
        <x:v>高</x:v>
      </x:c>
      <x:c r="D198" s="19" t="str">
        <x:v>SB</x:v>
      </x:c>
      <x:c r="E198" s="19" t="str">
        <x:v>安全加固</x:v>
      </x:c>
      <x:c r="F198" s="19" t="str">
        <x:v>C 网络安全</x:v>
      </x:c>
    </x:row>
    <x:row r="199">
      <x:c r="A199" s="19" t="str">
        <x:v>DISC-0809-0039</x:v>
      </x:c>
      <x:c r="B199" s="19" t="str">
        <x:v>保密管理</x:v>
      </x:c>
      <x:c r="C199" s="19" t="str">
        <x:v>高</x:v>
      </x:c>
      <x:c r="D199" s="19" t="str">
        <x:v>SB</x:v>
      </x:c>
      <x:c r="E199" s="19" t="str">
        <x:v>安全加固</x:v>
      </x:c>
      <x:c r="F199" s="19" t="str">
        <x:v>C 网络安全</x:v>
      </x:c>
    </x:row>
    <x:row r="200">
      <x:c r="A200" s="19" t="str">
        <x:v>DISC-0809-0040</x:v>
      </x:c>
      <x:c r="B200" s="19" t="str">
        <x:v>网络工程</x:v>
      </x:c>
      <x:c r="C200" s="19" t="str">
        <x:v>高</x:v>
      </x:c>
      <x:c r="D200" s="19" t="str">
        <x:v>SB</x:v>
      </x:c>
      <x:c r="E200" s="19" t="str">
        <x:v>机器人系统安全</x:v>
      </x:c>
      <x:c r="F200" s="19" t="str">
        <x:v>C 网络安全</x:v>
      </x:c>
    </x:row>
    <x:row r="201">
      <x:c r="A201" s="19" t="str">
        <x:v>DISC-0809-0040</x:v>
      </x:c>
      <x:c r="B201" s="19" t="str">
        <x:v>信息安全</x:v>
      </x:c>
      <x:c r="C201" s="19" t="str">
        <x:v>高</x:v>
      </x:c>
      <x:c r="D201" s="19" t="str">
        <x:v>SB</x:v>
      </x:c>
      <x:c r="E201" s="19" t="str">
        <x:v>机器人系统安全</x:v>
      </x:c>
      <x:c r="F201" s="19" t="str">
        <x:v>C 网络安全</x:v>
      </x:c>
    </x:row>
    <x:row r="202">
      <x:c r="A202" s="19" t="str">
        <x:v>DISC-0809-0040</x:v>
      </x:c>
      <x:c r="B202" s="19" t="str">
        <x:v>网络空间安全</x:v>
      </x:c>
      <x:c r="C202" s="19" t="str">
        <x:v>高</x:v>
      </x:c>
      <x:c r="D202" s="19" t="str">
        <x:v>SB</x:v>
      </x:c>
      <x:c r="E202" s="19" t="str">
        <x:v>机器人系统安全</x:v>
      </x:c>
      <x:c r="F202" s="19" t="str">
        <x:v>C 网络安全</x:v>
      </x:c>
    </x:row>
    <x:row r="203">
      <x:c r="A203" s="19" t="str">
        <x:v>DISC-0809-0040</x:v>
      </x:c>
      <x:c r="B203" s="19" t="str">
        <x:v>物联网工程</x:v>
      </x:c>
      <x:c r="C203" s="19" t="str">
        <x:v>高</x:v>
      </x:c>
      <x:c r="D203" s="19" t="str">
        <x:v>SB</x:v>
      </x:c>
      <x:c r="E203" s="19" t="str">
        <x:v>机器人系统安全</x:v>
      </x:c>
      <x:c r="F203" s="19" t="str">
        <x:v>C 网络安全</x:v>
      </x:c>
    </x:row>
    <x:row r="204">
      <x:c r="A204" s="19" t="str">
        <x:v>DISC-0809-0040</x:v>
      </x:c>
      <x:c r="B204" s="19" t="str">
        <x:v>保密管理</x:v>
      </x:c>
      <x:c r="C204" s="19" t="str">
        <x:v>高</x:v>
      </x:c>
      <x:c r="D204" s="19" t="str">
        <x:v>SB</x:v>
      </x:c>
      <x:c r="E204" s="19" t="str">
        <x:v>机器人系统安全</x:v>
      </x:c>
      <x:c r="F204" s="19" t="str">
        <x:v>C 网络安全</x:v>
      </x:c>
    </x:row>
    <x:row r="205">
      <x:c r="A205" s="19" t="str">
        <x:v>DISC-0809-0041</x:v>
      </x:c>
      <x:c r="B205" s="19" t="str">
        <x:v>网络工程</x:v>
      </x:c>
      <x:c r="C205" s="19" t="str">
        <x:v>中</x:v>
      </x:c>
      <x:c r="D205" s="19" t="str">
        <x:v>SB</x:v>
      </x:c>
      <x:c r="E205" s="19" t="str">
        <x:v>应用安全</x:v>
      </x:c>
      <x:c r="F205" s="19" t="str">
        <x:v>C 网络安全</x:v>
      </x:c>
    </x:row>
    <x:row r="206">
      <x:c r="A206" s="19" t="str">
        <x:v>DISC-0809-0041</x:v>
      </x:c>
      <x:c r="B206" s="19" t="str">
        <x:v>信息安全</x:v>
      </x:c>
      <x:c r="C206" s="19" t="str">
        <x:v>中</x:v>
      </x:c>
      <x:c r="D206" s="19" t="str">
        <x:v>SB</x:v>
      </x:c>
      <x:c r="E206" s="19" t="str">
        <x:v>应用安全</x:v>
      </x:c>
      <x:c r="F206" s="19" t="str">
        <x:v>C 网络安全</x:v>
      </x:c>
    </x:row>
    <x:row r="207">
      <x:c r="A207" s="19" t="str">
        <x:v>DISC-0809-0041</x:v>
      </x:c>
      <x:c r="B207" s="19" t="str">
        <x:v>网络空间安全</x:v>
      </x:c>
      <x:c r="C207" s="19" t="str">
        <x:v>中</x:v>
      </x:c>
      <x:c r="D207" s="19" t="str">
        <x:v>SB</x:v>
      </x:c>
      <x:c r="E207" s="19" t="str">
        <x:v>应用安全</x:v>
      </x:c>
      <x:c r="F207" s="19" t="str">
        <x:v>C 网络安全</x:v>
      </x:c>
    </x:row>
    <x:row r="208">
      <x:c r="A208" s="19" t="str">
        <x:v>DISC-0809-0041</x:v>
      </x:c>
      <x:c r="B208" s="19" t="str">
        <x:v>物联网工程</x:v>
      </x:c>
      <x:c r="C208" s="19" t="str">
        <x:v>中</x:v>
      </x:c>
      <x:c r="D208" s="19" t="str">
        <x:v>SB</x:v>
      </x:c>
      <x:c r="E208" s="19" t="str">
        <x:v>应用安全</x:v>
      </x:c>
      <x:c r="F208" s="19" t="str">
        <x:v>C 网络安全</x:v>
      </x:c>
    </x:row>
    <x:row r="209">
      <x:c r="A209" s="19" t="str">
        <x:v>DISC-0809-0041</x:v>
      </x:c>
      <x:c r="B209" s="19" t="str">
        <x:v>保密管理</x:v>
      </x:c>
      <x:c r="C209" s="19" t="str">
        <x:v>中</x:v>
      </x:c>
      <x:c r="D209" s="19" t="str">
        <x:v>SB</x:v>
      </x:c>
      <x:c r="E209" s="19" t="str">
        <x:v>应用安全</x:v>
      </x:c>
      <x:c r="F209" s="19" t="str">
        <x:v>C 网络安全</x:v>
      </x:c>
    </x:row>
    <x:row r="210">
      <x:c r="A210" s="19" t="str">
        <x:v>DISC-0809-0042</x:v>
      </x:c>
      <x:c r="B210" s="19" t="str">
        <x:v>网络工程</x:v>
      </x:c>
      <x:c r="C210" s="19" t="str">
        <x:v>中</x:v>
      </x:c>
      <x:c r="D210" s="19" t="str">
        <x:v>SA</x:v>
      </x:c>
      <x:c r="E210" s="19" t="str">
        <x:v>攻击树构建</x:v>
      </x:c>
      <x:c r="F210" s="19" t="str">
        <x:v>C 网络安全</x:v>
      </x:c>
    </x:row>
    <x:row r="211">
      <x:c r="A211" s="19" t="str">
        <x:v>DISC-0809-0042</x:v>
      </x:c>
      <x:c r="B211" s="19" t="str">
        <x:v>信息安全</x:v>
      </x:c>
      <x:c r="C211" s="19" t="str">
        <x:v>中</x:v>
      </x:c>
      <x:c r="D211" s="19" t="str">
        <x:v>SA</x:v>
      </x:c>
      <x:c r="E211" s="19" t="str">
        <x:v>攻击树构建</x:v>
      </x:c>
      <x:c r="F211" s="19" t="str">
        <x:v>C 网络安全</x:v>
      </x:c>
    </x:row>
    <x:row r="212">
      <x:c r="A212" s="19" t="str">
        <x:v>DISC-0809-0042</x:v>
      </x:c>
      <x:c r="B212" s="19" t="str">
        <x:v>网络空间安全</x:v>
      </x:c>
      <x:c r="C212" s="19" t="str">
        <x:v>中</x:v>
      </x:c>
      <x:c r="D212" s="19" t="str">
        <x:v>SA</x:v>
      </x:c>
      <x:c r="E212" s="19" t="str">
        <x:v>攻击树构建</x:v>
      </x:c>
      <x:c r="F212" s="19" t="str">
        <x:v>C 网络安全</x:v>
      </x:c>
    </x:row>
    <x:row r="213">
      <x:c r="A213" s="19" t="str">
        <x:v>DISC-0809-0042</x:v>
      </x:c>
      <x:c r="B213" s="19" t="str">
        <x:v>物联网工程</x:v>
      </x:c>
      <x:c r="C213" s="19" t="str">
        <x:v>中</x:v>
      </x:c>
      <x:c r="D213" s="19" t="str">
        <x:v>SA</x:v>
      </x:c>
      <x:c r="E213" s="19" t="str">
        <x:v>攻击树构建</x:v>
      </x:c>
      <x:c r="F213" s="19" t="str">
        <x:v>C 网络安全</x:v>
      </x:c>
    </x:row>
    <x:row r="214">
      <x:c r="A214" s="19" t="str">
        <x:v>DISC-0809-0042</x:v>
      </x:c>
      <x:c r="B214" s="19" t="str">
        <x:v>保密管理</x:v>
      </x:c>
      <x:c r="C214" s="19" t="str">
        <x:v>中</x:v>
      </x:c>
      <x:c r="D214" s="19" t="str">
        <x:v>SA</x:v>
      </x:c>
      <x:c r="E214" s="19" t="str">
        <x:v>攻击树构建</x:v>
      </x:c>
      <x:c r="F214" s="19" t="str">
        <x:v>C 网络安全</x:v>
      </x:c>
    </x:row>
    <x:row r="215">
      <x:c r="A215" s="19" t="str">
        <x:v>DISC-0809-0043</x:v>
      </x:c>
      <x:c r="B215" s="19" t="str">
        <x:v>网络工程</x:v>
      </x:c>
      <x:c r="C215" s="19" t="str">
        <x:v>高</x:v>
      </x:c>
      <x:c r="D215" s="19" t="str">
        <x:v>SB</x:v>
      </x:c>
      <x:c r="E215" s="19" t="str">
        <x:v>认证与授权模式</x:v>
      </x:c>
      <x:c r="F215" s="19" t="str">
        <x:v>C 网络安全</x:v>
      </x:c>
    </x:row>
    <x:row r="216">
      <x:c r="A216" s="19" t="str">
        <x:v>DISC-0809-0043</x:v>
      </x:c>
      <x:c r="B216" s="19" t="str">
        <x:v>信息安全</x:v>
      </x:c>
      <x:c r="C216" s="19" t="str">
        <x:v>高</x:v>
      </x:c>
      <x:c r="D216" s="19" t="str">
        <x:v>SB</x:v>
      </x:c>
      <x:c r="E216" s="19" t="str">
        <x:v>认证与授权模式</x:v>
      </x:c>
      <x:c r="F216" s="19" t="str">
        <x:v>C 网络安全</x:v>
      </x:c>
    </x:row>
    <x:row r="217">
      <x:c r="A217" s="19" t="str">
        <x:v>DISC-0809-0043</x:v>
      </x:c>
      <x:c r="B217" s="19" t="str">
        <x:v>网络空间安全</x:v>
      </x:c>
      <x:c r="C217" s="19" t="str">
        <x:v>高</x:v>
      </x:c>
      <x:c r="D217" s="19" t="str">
        <x:v>SB</x:v>
      </x:c>
      <x:c r="E217" s="19" t="str">
        <x:v>认证与授权模式</x:v>
      </x:c>
      <x:c r="F217" s="19" t="str">
        <x:v>C 网络安全</x:v>
      </x:c>
    </x:row>
    <x:row r="218">
      <x:c r="A218" s="19" t="str">
        <x:v>DISC-0809-0043</x:v>
      </x:c>
      <x:c r="B218" s="19" t="str">
        <x:v>物联网工程</x:v>
      </x:c>
      <x:c r="C218" s="19" t="str">
        <x:v>高</x:v>
      </x:c>
      <x:c r="D218" s="19" t="str">
        <x:v>SB</x:v>
      </x:c>
      <x:c r="E218" s="19" t="str">
        <x:v>认证与授权模式</x:v>
      </x:c>
      <x:c r="F218" s="19" t="str">
        <x:v>C 网络安全</x:v>
      </x:c>
    </x:row>
    <x:row r="219">
      <x:c r="A219" s="19" t="str">
        <x:v>DISC-0809-0043</x:v>
      </x:c>
      <x:c r="B219" s="19" t="str">
        <x:v>保密管理</x:v>
      </x:c>
      <x:c r="C219" s="19" t="str">
        <x:v>高</x:v>
      </x:c>
      <x:c r="D219" s="19" t="str">
        <x:v>SB</x:v>
      </x:c>
      <x:c r="E219" s="19" t="str">
        <x:v>认证与授权模式</x:v>
      </x:c>
      <x:c r="F219" s="19" t="str">
        <x:v>C 网络安全</x:v>
      </x:c>
    </x:row>
    <x:row r="220">
      <x:c r="A220" s="19" t="str">
        <x:v>DISC-0809-0044</x:v>
      </x:c>
      <x:c r="B220" s="19" t="str">
        <x:v>网络工程</x:v>
      </x:c>
      <x:c r="C220" s="19" t="str">
        <x:v>高</x:v>
      </x:c>
      <x:c r="D220" s="19" t="str">
        <x:v>SA</x:v>
      </x:c>
      <x:c r="E220" s="19" t="str">
        <x:v>安全需求提取</x:v>
      </x:c>
      <x:c r="F220" s="19" t="str">
        <x:v>C 网络安全</x:v>
      </x:c>
    </x:row>
    <x:row r="221">
      <x:c r="A221" s="19" t="str">
        <x:v>DISC-0809-0044</x:v>
      </x:c>
      <x:c r="B221" s="19" t="str">
        <x:v>信息安全</x:v>
      </x:c>
      <x:c r="C221" s="19" t="str">
        <x:v>高</x:v>
      </x:c>
      <x:c r="D221" s="19" t="str">
        <x:v>SA</x:v>
      </x:c>
      <x:c r="E221" s="19" t="str">
        <x:v>安全需求提取</x:v>
      </x:c>
      <x:c r="F221" s="19" t="str">
        <x:v>C 网络安全</x:v>
      </x:c>
    </x:row>
    <x:row r="222">
      <x:c r="A222" s="19" t="str">
        <x:v>DISC-0809-0044</x:v>
      </x:c>
      <x:c r="B222" s="19" t="str">
        <x:v>网络空间安全</x:v>
      </x:c>
      <x:c r="C222" s="19" t="str">
        <x:v>高</x:v>
      </x:c>
      <x:c r="D222" s="19" t="str">
        <x:v>SA</x:v>
      </x:c>
      <x:c r="E222" s="19" t="str">
        <x:v>安全需求提取</x:v>
      </x:c>
      <x:c r="F222" s="19" t="str">
        <x:v>C 网络安全</x:v>
      </x:c>
    </x:row>
    <x:row r="223">
      <x:c r="A223" s="19" t="str">
        <x:v>DISC-0809-0044</x:v>
      </x:c>
      <x:c r="B223" s="19" t="str">
        <x:v>物联网工程</x:v>
      </x:c>
      <x:c r="C223" s="19" t="str">
        <x:v>高</x:v>
      </x:c>
      <x:c r="D223" s="19" t="str">
        <x:v>SA</x:v>
      </x:c>
      <x:c r="E223" s="19" t="str">
        <x:v>安全需求提取</x:v>
      </x:c>
      <x:c r="F223" s="19" t="str">
        <x:v>C 网络安全</x:v>
      </x:c>
    </x:row>
    <x:row r="224">
      <x:c r="A224" s="19" t="str">
        <x:v>DISC-0809-0044</x:v>
      </x:c>
      <x:c r="B224" s="19" t="str">
        <x:v>保密管理</x:v>
      </x:c>
      <x:c r="C224" s="19" t="str">
        <x:v>高</x:v>
      </x:c>
      <x:c r="D224" s="19" t="str">
        <x:v>SA</x:v>
      </x:c>
      <x:c r="E224" s="19" t="str">
        <x:v>安全需求提取</x:v>
      </x:c>
      <x:c r="F224" s="19" t="str">
        <x:v>C 网络安全</x:v>
      </x:c>
    </x:row>
    <x:row r="225">
      <x:c r="A225" s="19" t="str">
        <x:v>DISC-0809-0045</x:v>
      </x:c>
      <x:c r="B225" s="19" t="str">
        <x:v>网络工程</x:v>
      </x:c>
      <x:c r="C225" s="19" t="str">
        <x:v>高</x:v>
      </x:c>
      <x:c r="D225" s="19" t="str">
        <x:v>SA</x:v>
      </x:c>
      <x:c r="E225" s="19" t="str">
        <x:v>STRIDE 威胁分析</x:v>
      </x:c>
      <x:c r="F225" s="19" t="str">
        <x:v>C 网络安全</x:v>
      </x:c>
    </x:row>
    <x:row r="226">
      <x:c r="A226" s="19" t="str">
        <x:v>DISC-0809-0045</x:v>
      </x:c>
      <x:c r="B226" s="19" t="str">
        <x:v>信息安全</x:v>
      </x:c>
      <x:c r="C226" s="19" t="str">
        <x:v>高</x:v>
      </x:c>
      <x:c r="D226" s="19" t="str">
        <x:v>SA</x:v>
      </x:c>
      <x:c r="E226" s="19" t="str">
        <x:v>STRIDE 威胁分析</x:v>
      </x:c>
      <x:c r="F226" s="19" t="str">
        <x:v>C 网络安全</x:v>
      </x:c>
    </x:row>
    <x:row r="227">
      <x:c r="A227" s="19" t="str">
        <x:v>DISC-0809-0045</x:v>
      </x:c>
      <x:c r="B227" s="19" t="str">
        <x:v>网络空间安全</x:v>
      </x:c>
      <x:c r="C227" s="19" t="str">
        <x:v>高</x:v>
      </x:c>
      <x:c r="D227" s="19" t="str">
        <x:v>SA</x:v>
      </x:c>
      <x:c r="E227" s="19" t="str">
        <x:v>STRIDE 威胁分析</x:v>
      </x:c>
      <x:c r="F227" s="19" t="str">
        <x:v>C 网络安全</x:v>
      </x:c>
    </x:row>
    <x:row r="228">
      <x:c r="A228" s="19" t="str">
        <x:v>DISC-0809-0045</x:v>
      </x:c>
      <x:c r="B228" s="19" t="str">
        <x:v>物联网工程</x:v>
      </x:c>
      <x:c r="C228" s="19" t="str">
        <x:v>高</x:v>
      </x:c>
      <x:c r="D228" s="19" t="str">
        <x:v>SA</x:v>
      </x:c>
      <x:c r="E228" s="19" t="str">
        <x:v>STRIDE 威胁分析</x:v>
      </x:c>
      <x:c r="F228" s="19" t="str">
        <x:v>C 网络安全</x:v>
      </x:c>
    </x:row>
    <x:row r="229">
      <x:c r="A229" s="19" t="str">
        <x:v>DISC-0809-0045</x:v>
      </x:c>
      <x:c r="B229" s="19" t="str">
        <x:v>保密管理</x:v>
      </x:c>
      <x:c r="C229" s="19" t="str">
        <x:v>高</x:v>
      </x:c>
      <x:c r="D229" s="19" t="str">
        <x:v>SA</x:v>
      </x:c>
      <x:c r="E229" s="19" t="str">
        <x:v>STRIDE 威胁分析</x:v>
      </x:c>
      <x:c r="F229" s="19" t="str">
        <x:v>C 网络安全</x:v>
      </x:c>
    </x:row>
    <x:row r="230">
      <x:c r="A230" s="19" t="str">
        <x:v>DISC-0809-0046</x:v>
      </x:c>
      <x:c r="B230" s="19" t="str">
        <x:v>网络工程</x:v>
      </x:c>
      <x:c r="C230" s="19" t="str">
        <x:v>中</x:v>
      </x:c>
      <x:c r="D230" s="19" t="str">
        <x:v>SA</x:v>
      </x:c>
      <x:c r="E230" s="19" t="str">
        <x:v>威胁—缓解措施映射</x:v>
      </x:c>
      <x:c r="F230" s="19" t="str">
        <x:v>C 网络安全</x:v>
      </x:c>
    </x:row>
    <x:row r="231">
      <x:c r="A231" s="19" t="str">
        <x:v>DISC-0809-0046</x:v>
      </x:c>
      <x:c r="B231" s="19" t="str">
        <x:v>信息安全</x:v>
      </x:c>
      <x:c r="C231" s="19" t="str">
        <x:v>中</x:v>
      </x:c>
      <x:c r="D231" s="19" t="str">
        <x:v>SA</x:v>
      </x:c>
      <x:c r="E231" s="19" t="str">
        <x:v>威胁—缓解措施映射</x:v>
      </x:c>
      <x:c r="F231" s="19" t="str">
        <x:v>C 网络安全</x:v>
      </x:c>
    </x:row>
    <x:row r="232">
      <x:c r="A232" s="19" t="str">
        <x:v>DISC-0809-0046</x:v>
      </x:c>
      <x:c r="B232" s="19" t="str">
        <x:v>网络空间安全</x:v>
      </x:c>
      <x:c r="C232" s="19" t="str">
        <x:v>中</x:v>
      </x:c>
      <x:c r="D232" s="19" t="str">
        <x:v>SA</x:v>
      </x:c>
      <x:c r="E232" s="19" t="str">
        <x:v>威胁—缓解措施映射</x:v>
      </x:c>
      <x:c r="F232" s="19" t="str">
        <x:v>C 网络安全</x:v>
      </x:c>
    </x:row>
    <x:row r="233">
      <x:c r="A233" s="19" t="str">
        <x:v>DISC-0809-0046</x:v>
      </x:c>
      <x:c r="B233" s="19" t="str">
        <x:v>物联网工程</x:v>
      </x:c>
      <x:c r="C233" s="19" t="str">
        <x:v>中</x:v>
      </x:c>
      <x:c r="D233" s="19" t="str">
        <x:v>SA</x:v>
      </x:c>
      <x:c r="E233" s="19" t="str">
        <x:v>威胁—缓解措施映射</x:v>
      </x:c>
      <x:c r="F233" s="19" t="str">
        <x:v>C 网络安全</x:v>
      </x:c>
    </x:row>
    <x:row r="234">
      <x:c r="A234" s="19" t="str">
        <x:v>DISC-0809-0046</x:v>
      </x:c>
      <x:c r="B234" s="19" t="str">
        <x:v>保密管理</x:v>
      </x:c>
      <x:c r="C234" s="19" t="str">
        <x:v>中</x:v>
      </x:c>
      <x:c r="D234" s="19" t="str">
        <x:v>SA</x:v>
      </x:c>
      <x:c r="E234" s="19" t="str">
        <x:v>威胁—缓解措施映射</x:v>
      </x:c>
      <x:c r="F234" s="19" t="str">
        <x:v>C 网络安全</x:v>
      </x:c>
    </x:row>
    <x:row r="235">
      <x:c r="A235" s="19" t="str">
        <x:v>DISC-0809-0047</x:v>
      </x:c>
      <x:c r="B235" s="19" t="str">
        <x:v>物联网工程</x:v>
      </x:c>
      <x:c r="C235" s="19" t="str">
        <x:v>中</x:v>
      </x:c>
      <x:c r="D235" s="19" t="str">
        <x:v>SA</x:v>
      </x:c>
      <x:c r="E235" s="19" t="str">
        <x:v>机器人设计模式</x:v>
      </x:c>
      <x:c r="F235" s="19" t="str">
        <x:v>D 物联网</x:v>
      </x:c>
    </x:row>
    <x:row r="236">
      <x:c r="A236" s="19" t="str">
        <x:v>DISC-0809-0047</x:v>
      </x:c>
      <x:c r="B236" s="19" t="str">
        <x:v>电子与计算机工程</x:v>
      </x:c>
      <x:c r="C236" s="19" t="str">
        <x:v>中</x:v>
      </x:c>
      <x:c r="D236" s="19" t="str">
        <x:v>SA</x:v>
      </x:c>
      <x:c r="E236" s="19" t="str">
        <x:v>机器人设计模式</x:v>
      </x:c>
      <x:c r="F236" s="19" t="str">
        <x:v>D 物联网</x:v>
      </x:c>
    </x:row>
    <x:row r="237">
      <x:c r="A237" s="19" t="str">
        <x:v>DISC-0809-0047</x:v>
      </x:c>
      <x:c r="B237" s="19" t="str">
        <x:v>计算机科学与技术</x:v>
      </x:c>
      <x:c r="C237" s="19" t="str">
        <x:v>中</x:v>
      </x:c>
      <x:c r="D237" s="19" t="str">
        <x:v>SA</x:v>
      </x:c>
      <x:c r="E237" s="19" t="str">
        <x:v>机器人设计模式</x:v>
      </x:c>
      <x:c r="F237" s="19" t="str">
        <x:v>D 物联网</x:v>
      </x:c>
    </x:row>
    <x:row r="238">
      <x:c r="A238" s="19" t="str">
        <x:v>DISC-0809-0047</x:v>
      </x:c>
      <x:c r="B238" s="19" t="str">
        <x:v>智能科学与技术</x:v>
      </x:c>
      <x:c r="C238" s="19" t="str">
        <x:v>中</x:v>
      </x:c>
      <x:c r="D238" s="19" t="str">
        <x:v>SA</x:v>
      </x:c>
      <x:c r="E238" s="19" t="str">
        <x:v>机器人设计模式</x:v>
      </x:c>
      <x:c r="F238" s="19" t="str">
        <x:v>D 物联网</x:v>
      </x:c>
    </x:row>
    <x:row r="239">
      <x:c r="A239" s="19" t="str">
        <x:v>DISC-0809-0048</x:v>
      </x:c>
      <x:c r="B239" s="19" t="str">
        <x:v>物联网工程</x:v>
      </x:c>
      <x:c r="C239" s="19" t="str">
        <x:v>中</x:v>
      </x:c>
      <x:c r="D239" s="19" t="str">
        <x:v>SA</x:v>
      </x:c>
      <x:c r="E239" s="19" t="str">
        <x:v>机器人软件原则</x:v>
      </x:c>
      <x:c r="F239" s="19" t="str">
        <x:v>D 物联网</x:v>
      </x:c>
    </x:row>
    <x:row r="240">
      <x:c r="A240" s="19" t="str">
        <x:v>DISC-0809-0048</x:v>
      </x:c>
      <x:c r="B240" s="19" t="str">
        <x:v>电子与计算机工程</x:v>
      </x:c>
      <x:c r="C240" s="19" t="str">
        <x:v>中</x:v>
      </x:c>
      <x:c r="D240" s="19" t="str">
        <x:v>SA</x:v>
      </x:c>
      <x:c r="E240" s="19" t="str">
        <x:v>机器人软件原则</x:v>
      </x:c>
      <x:c r="F240" s="19" t="str">
        <x:v>D 物联网</x:v>
      </x:c>
    </x:row>
    <x:row r="241">
      <x:c r="A241" s="19" t="str">
        <x:v>DISC-0809-0048</x:v>
      </x:c>
      <x:c r="B241" s="19" t="str">
        <x:v>计算机科学与技术</x:v>
      </x:c>
      <x:c r="C241" s="19" t="str">
        <x:v>中</x:v>
      </x:c>
      <x:c r="D241" s="19" t="str">
        <x:v>SA</x:v>
      </x:c>
      <x:c r="E241" s="19" t="str">
        <x:v>机器人软件原则</x:v>
      </x:c>
      <x:c r="F241" s="19" t="str">
        <x:v>D 物联网</x:v>
      </x:c>
    </x:row>
    <x:row r="242">
      <x:c r="A242" s="19" t="str">
        <x:v>DISC-0809-0048</x:v>
      </x:c>
      <x:c r="B242" s="19" t="str">
        <x:v>智能科学与技术</x:v>
      </x:c>
      <x:c r="C242" s="19" t="str">
        <x:v>中</x:v>
      </x:c>
      <x:c r="D242" s="19" t="str">
        <x:v>SA</x:v>
      </x:c>
      <x:c r="E242" s="19" t="str">
        <x:v>机器人软件原则</x:v>
      </x:c>
      <x:c r="F242" s="19" t="str">
        <x:v>D 物联网</x:v>
      </x:c>
    </x:row>
    <x:row r="243">
      <x:c r="A243" s="19" t="str">
        <x:v>DISC-0809-0049</x:v>
      </x:c>
      <x:c r="B243" s="19" t="str">
        <x:v>物联网工程</x:v>
      </x:c>
      <x:c r="C243" s="19" t="str">
        <x:v>中</x:v>
      </x:c>
      <x:c r="D243" s="19" t="str">
        <x:v>SB-A</x:v>
      </x:c>
      <x:c r="E243" s="19" t="str">
        <x:v>机器人软件测试</x:v>
      </x:c>
      <x:c r="F243" s="19" t="str">
        <x:v>D 物联网</x:v>
      </x:c>
    </x:row>
    <x:row r="244">
      <x:c r="A244" s="19" t="str">
        <x:v>DISC-0809-0049</x:v>
      </x:c>
      <x:c r="B244" s="19" t="str">
        <x:v>电子与计算机工程</x:v>
      </x:c>
      <x:c r="C244" s="19" t="str">
        <x:v>中</x:v>
      </x:c>
      <x:c r="D244" s="19" t="str">
        <x:v>SB-A</x:v>
      </x:c>
      <x:c r="E244" s="19" t="str">
        <x:v>机器人软件测试</x:v>
      </x:c>
      <x:c r="F244" s="19" t="str">
        <x:v>D 物联网</x:v>
      </x:c>
    </x:row>
    <x:row r="245">
      <x:c r="A245" s="19" t="str">
        <x:v>DISC-0809-0049</x:v>
      </x:c>
      <x:c r="B245" s="19" t="str">
        <x:v>计算机科学与技术</x:v>
      </x:c>
      <x:c r="C245" s="19" t="str">
        <x:v>中</x:v>
      </x:c>
      <x:c r="D245" s="19" t="str">
        <x:v>SB-A</x:v>
      </x:c>
      <x:c r="E245" s="19" t="str">
        <x:v>机器人软件测试</x:v>
      </x:c>
      <x:c r="F245" s="19" t="str">
        <x:v>D 物联网</x:v>
      </x:c>
    </x:row>
    <x:row r="246">
      <x:c r="A246" s="19" t="str">
        <x:v>DISC-0809-0049</x:v>
      </x:c>
      <x:c r="B246" s="19" t="str">
        <x:v>智能科学与技术</x:v>
      </x:c>
      <x:c r="C246" s="19" t="str">
        <x:v>中</x:v>
      </x:c>
      <x:c r="D246" s="19" t="str">
        <x:v>SB-A</x:v>
      </x:c>
      <x:c r="E246" s="19" t="str">
        <x:v>机器人软件测试</x:v>
      </x:c>
      <x:c r="F246" s="19" t="str">
        <x:v>D 物联网</x:v>
      </x:c>
    </x:row>
    <x:row r="247">
      <x:c r="A247" s="19" t="str">
        <x:v>DISC-0809-0050</x:v>
      </x:c>
      <x:c r="B247" s="19" t="str">
        <x:v>物联网工程</x:v>
      </x:c>
      <x:c r="C247" s="19" t="str">
        <x:v>高</x:v>
      </x:c>
      <x:c r="D247" s="19" t="str">
        <x:v>SA</x:v>
      </x:c>
      <x:c r="E247" s="19" t="str">
        <x:v>嵌入式与物联网基础</x:v>
      </x:c>
      <x:c r="F247" s="19" t="str">
        <x:v>D 物联网</x:v>
      </x:c>
    </x:row>
    <x:row r="248">
      <x:c r="A248" s="19" t="str">
        <x:v>DISC-0809-0050</x:v>
      </x:c>
      <x:c r="B248" s="19" t="str">
        <x:v>电子与计算机工程</x:v>
      </x:c>
      <x:c r="C248" s="19" t="str">
        <x:v>高</x:v>
      </x:c>
      <x:c r="D248" s="19" t="str">
        <x:v>SA</x:v>
      </x:c>
      <x:c r="E248" s="19" t="str">
        <x:v>嵌入式与物联网基础</x:v>
      </x:c>
      <x:c r="F248" s="19" t="str">
        <x:v>D 物联网</x:v>
      </x:c>
    </x:row>
    <x:row r="249">
      <x:c r="A249" s="19" t="str">
        <x:v>DISC-0809-0050</x:v>
      </x:c>
      <x:c r="B249" s="19" t="str">
        <x:v>计算机科学与技术</x:v>
      </x:c>
      <x:c r="C249" s="19" t="str">
        <x:v>高</x:v>
      </x:c>
      <x:c r="D249" s="19" t="str">
        <x:v>SA</x:v>
      </x:c>
      <x:c r="E249" s="19" t="str">
        <x:v>嵌入式与物联网基础</x:v>
      </x:c>
      <x:c r="F249" s="19" t="str">
        <x:v>D 物联网</x:v>
      </x:c>
    </x:row>
    <x:row r="250">
      <x:c r="A250" s="19" t="str">
        <x:v>DISC-0809-0050</x:v>
      </x:c>
      <x:c r="B250" s="19" t="str">
        <x:v>智能科学与技术</x:v>
      </x:c>
      <x:c r="C250" s="19" t="str">
        <x:v>高</x:v>
      </x:c>
      <x:c r="D250" s="19" t="str">
        <x:v>SA</x:v>
      </x:c>
      <x:c r="E250" s="19" t="str">
        <x:v>嵌入式与物联网基础</x:v>
      </x:c>
      <x:c r="F250" s="19" t="str">
        <x:v>D 物联网</x:v>
      </x:c>
    </x:row>
    <x:row r="251">
      <x:c r="A251" s="19" t="str">
        <x:v>DISC-0809-0051</x:v>
      </x:c>
      <x:c r="B251" s="19" t="str">
        <x:v>物联网工程</x:v>
      </x:c>
      <x:c r="C251" s="19" t="str">
        <x:v>中</x:v>
      </x:c>
      <x:c r="D251" s="19" t="str">
        <x:v>SB</x:v>
      </x:c>
      <x:c r="E251" s="19" t="str">
        <x:v>Arduino 代码生成</x:v>
      </x:c>
      <x:c r="F251" s="19" t="str">
        <x:v>D 物联网</x:v>
      </x:c>
    </x:row>
    <x:row r="252">
      <x:c r="A252" s="19" t="str">
        <x:v>DISC-0809-0051</x:v>
      </x:c>
      <x:c r="B252" s="19" t="str">
        <x:v>电子与计算机工程</x:v>
      </x:c>
      <x:c r="C252" s="19" t="str">
        <x:v>中</x:v>
      </x:c>
      <x:c r="D252" s="19" t="str">
        <x:v>SB</x:v>
      </x:c>
      <x:c r="E252" s="19" t="str">
        <x:v>Arduino 代码生成</x:v>
      </x:c>
      <x:c r="F252" s="19" t="str">
        <x:v>D 物联网</x:v>
      </x:c>
    </x:row>
    <x:row r="253">
      <x:c r="A253" s="19" t="str">
        <x:v>DISC-0809-0051</x:v>
      </x:c>
      <x:c r="B253" s="19" t="str">
        <x:v>计算机科学与技术</x:v>
      </x:c>
      <x:c r="C253" s="19" t="str">
        <x:v>中</x:v>
      </x:c>
      <x:c r="D253" s="19" t="str">
        <x:v>SB</x:v>
      </x:c>
      <x:c r="E253" s="19" t="str">
        <x:v>Arduino 代码生成</x:v>
      </x:c>
      <x:c r="F253" s="19" t="str">
        <x:v>D 物联网</x:v>
      </x:c>
    </x:row>
    <x:row r="254">
      <x:c r="A254" s="19" t="str">
        <x:v>DISC-0809-0051</x:v>
      </x:c>
      <x:c r="B254" s="19" t="str">
        <x:v>智能科学与技术</x:v>
      </x:c>
      <x:c r="C254" s="19" t="str">
        <x:v>中</x:v>
      </x:c>
      <x:c r="D254" s="19" t="str">
        <x:v>SB</x:v>
      </x:c>
      <x:c r="E254" s="19" t="str">
        <x:v>Arduino 代码生成</x:v>
      </x:c>
      <x:c r="F254" s="19" t="str">
        <x:v>D 物联网</x:v>
      </x:c>
    </x:row>
    <x:row r="255">
      <x:c r="A255" s="19" t="str">
        <x:v>DISC-0809-0052</x:v>
      </x:c>
      <x:c r="B255" s="19" t="str">
        <x:v>物联网工程</x:v>
      </x:c>
      <x:c r="C255" s="19" t="str">
        <x:v>中</x:v>
      </x:c>
      <x:c r="D255" s="19" t="str">
        <x:v>SB</x:v>
      </x:c>
      <x:c r="E255" s="19" t="str">
        <x:v>Arduino 项目脚手架</x:v>
      </x:c>
      <x:c r="F255" s="19" t="str">
        <x:v>D 物联网</x:v>
      </x:c>
    </x:row>
    <x:row r="256">
      <x:c r="A256" s="19" t="str">
        <x:v>DISC-0809-0052</x:v>
      </x:c>
      <x:c r="B256" s="19" t="str">
        <x:v>电子与计算机工程</x:v>
      </x:c>
      <x:c r="C256" s="19" t="str">
        <x:v>中</x:v>
      </x:c>
      <x:c r="D256" s="19" t="str">
        <x:v>SB</x:v>
      </x:c>
      <x:c r="E256" s="19" t="str">
        <x:v>Arduino 项目脚手架</x:v>
      </x:c>
      <x:c r="F256" s="19" t="str">
        <x:v>D 物联网</x:v>
      </x:c>
    </x:row>
    <x:row r="257">
      <x:c r="A257" s="19" t="str">
        <x:v>DISC-0809-0052</x:v>
      </x:c>
      <x:c r="B257" s="19" t="str">
        <x:v>计算机科学与技术</x:v>
      </x:c>
      <x:c r="C257" s="19" t="str">
        <x:v>中</x:v>
      </x:c>
      <x:c r="D257" s="19" t="str">
        <x:v>SB</x:v>
      </x:c>
      <x:c r="E257" s="19" t="str">
        <x:v>Arduino 项目脚手架</x:v>
      </x:c>
      <x:c r="F257" s="19" t="str">
        <x:v>D 物联网</x:v>
      </x:c>
    </x:row>
    <x:row r="258">
      <x:c r="A258" s="19" t="str">
        <x:v>DISC-0809-0052</x:v>
      </x:c>
      <x:c r="B258" s="19" t="str">
        <x:v>智能科学与技术</x:v>
      </x:c>
      <x:c r="C258" s="19" t="str">
        <x:v>中</x:v>
      </x:c>
      <x:c r="D258" s="19" t="str">
        <x:v>SB</x:v>
      </x:c>
      <x:c r="E258" s="19" t="str">
        <x:v>Arduino 项目脚手架</x:v>
      </x:c>
      <x:c r="F258" s="19" t="str">
        <x:v>D 物联网</x:v>
      </x:c>
    </x:row>
    <x:row r="259">
      <x:c r="A259" s="19" t="str">
        <x:v>DISC-0809-0053</x:v>
      </x:c>
      <x:c r="B259" s="19" t="str">
        <x:v>物联网工程</x:v>
      </x:c>
      <x:c r="C259" s="19" t="str">
        <x:v>中</x:v>
      </x:c>
      <x:c r="D259" s="19" t="str">
        <x:v>SB</x:v>
      </x:c>
      <x:c r="E259" s="19" t="str">
        <x:v>电路故障诊断</x:v>
      </x:c>
      <x:c r="F259" s="19" t="str">
        <x:v>D 物联网</x:v>
      </x:c>
    </x:row>
    <x:row r="260">
      <x:c r="A260" s="19" t="str">
        <x:v>DISC-0809-0053</x:v>
      </x:c>
      <x:c r="B260" s="19" t="str">
        <x:v>电子与计算机工程</x:v>
      </x:c>
      <x:c r="C260" s="19" t="str">
        <x:v>中</x:v>
      </x:c>
      <x:c r="D260" s="19" t="str">
        <x:v>SB</x:v>
      </x:c>
      <x:c r="E260" s="19" t="str">
        <x:v>电路故障诊断</x:v>
      </x:c>
      <x:c r="F260" s="19" t="str">
        <x:v>D 物联网</x:v>
      </x:c>
    </x:row>
    <x:row r="261">
      <x:c r="A261" s="19" t="str">
        <x:v>DISC-0809-0053</x:v>
      </x:c>
      <x:c r="B261" s="19" t="str">
        <x:v>计算机科学与技术</x:v>
      </x:c>
      <x:c r="C261" s="19" t="str">
        <x:v>中</x:v>
      </x:c>
      <x:c r="D261" s="19" t="str">
        <x:v>SB</x:v>
      </x:c>
      <x:c r="E261" s="19" t="str">
        <x:v>电路故障诊断</x:v>
      </x:c>
      <x:c r="F261" s="19" t="str">
        <x:v>D 物联网</x:v>
      </x:c>
    </x:row>
    <x:row r="262">
      <x:c r="A262" s="19" t="str">
        <x:v>DISC-0809-0053</x:v>
      </x:c>
      <x:c r="B262" s="19" t="str">
        <x:v>智能科学与技术</x:v>
      </x:c>
      <x:c r="C262" s="19" t="str">
        <x:v>中</x:v>
      </x:c>
      <x:c r="D262" s="19" t="str">
        <x:v>SB</x:v>
      </x:c>
      <x:c r="E262" s="19" t="str">
        <x:v>电路故障诊断</x:v>
      </x:c>
      <x:c r="F262" s="19" t="str">
        <x:v>D 物联网</x:v>
      </x:c>
    </x:row>
    <x:row r="263">
      <x:c r="A263" s="19" t="str">
        <x:v>DISC-0809-0054</x:v>
      </x:c>
      <x:c r="B263" s="19" t="str">
        <x:v>物联网工程</x:v>
      </x:c>
      <x:c r="C263" s="19" t="str">
        <x:v>中</x:v>
      </x:c>
      <x:c r="D263" s="19" t="str">
        <x:v>SB-A</x:v>
      </x:c>
      <x:c r="E263" s="19" t="str">
        <x:v>器件数据手册解读</x:v>
      </x:c>
      <x:c r="F263" s="19" t="str">
        <x:v>D 物联网</x:v>
      </x:c>
    </x:row>
    <x:row r="264">
      <x:c r="A264" s="19" t="str">
        <x:v>DISC-0809-0054</x:v>
      </x:c>
      <x:c r="B264" s="19" t="str">
        <x:v>电子与计算机工程</x:v>
      </x:c>
      <x:c r="C264" s="19" t="str">
        <x:v>中</x:v>
      </x:c>
      <x:c r="D264" s="19" t="str">
        <x:v>SB-A</x:v>
      </x:c>
      <x:c r="E264" s="19" t="str">
        <x:v>器件数据手册解读</x:v>
      </x:c>
      <x:c r="F264" s="19" t="str">
        <x:v>D 物联网</x:v>
      </x:c>
    </x:row>
    <x:row r="265">
      <x:c r="A265" s="19" t="str">
        <x:v>DISC-0809-0054</x:v>
      </x:c>
      <x:c r="B265" s="19" t="str">
        <x:v>计算机科学与技术</x:v>
      </x:c>
      <x:c r="C265" s="19" t="str">
        <x:v>中</x:v>
      </x:c>
      <x:c r="D265" s="19" t="str">
        <x:v>SB-A</x:v>
      </x:c>
      <x:c r="E265" s="19" t="str">
        <x:v>器件数据手册解读</x:v>
      </x:c>
      <x:c r="F265" s="19" t="str">
        <x:v>D 物联网</x:v>
      </x:c>
    </x:row>
    <x:row r="266">
      <x:c r="A266" s="19" t="str">
        <x:v>DISC-0809-0054</x:v>
      </x:c>
      <x:c r="B266" s="19" t="str">
        <x:v>智能科学与技术</x:v>
      </x:c>
      <x:c r="C266" s="19" t="str">
        <x:v>中</x:v>
      </x:c>
      <x:c r="D266" s="19" t="str">
        <x:v>SB-A</x:v>
      </x:c>
      <x:c r="E266" s="19" t="str">
        <x:v>器件数据手册解读</x:v>
      </x:c>
      <x:c r="F266" s="19" t="str">
        <x:v>D 物联网</x:v>
      </x:c>
    </x:row>
    <x:row r="267">
      <x:c r="A267" s="19" t="str">
        <x:v>DISC-0809-0055</x:v>
      </x:c>
      <x:c r="B267" s="19" t="str">
        <x:v>物联网工程</x:v>
      </x:c>
      <x:c r="C267" s="19" t="str">
        <x:v>中</x:v>
      </x:c>
      <x:c r="D267" s="19" t="str">
        <x:v>SB</x:v>
      </x:c>
      <x:c r="E267" s="19" t="str">
        <x:v>现场供电与连接诊断</x:v>
      </x:c>
      <x:c r="F267" s="19" t="str">
        <x:v>D 物联网</x:v>
      </x:c>
    </x:row>
    <x:row r="268">
      <x:c r="A268" s="19" t="str">
        <x:v>DISC-0809-0055</x:v>
      </x:c>
      <x:c r="B268" s="19" t="str">
        <x:v>电子与计算机工程</x:v>
      </x:c>
      <x:c r="C268" s="19" t="str">
        <x:v>中</x:v>
      </x:c>
      <x:c r="D268" s="19" t="str">
        <x:v>SB</x:v>
      </x:c>
      <x:c r="E268" s="19" t="str">
        <x:v>现场供电与连接诊断</x:v>
      </x:c>
      <x:c r="F268" s="19" t="str">
        <x:v>D 物联网</x:v>
      </x:c>
    </x:row>
    <x:row r="269">
      <x:c r="A269" s="19" t="str">
        <x:v>DISC-0809-0055</x:v>
      </x:c>
      <x:c r="B269" s="19" t="str">
        <x:v>计算机科学与技术</x:v>
      </x:c>
      <x:c r="C269" s="19" t="str">
        <x:v>中</x:v>
      </x:c>
      <x:c r="D269" s="19" t="str">
        <x:v>SB</x:v>
      </x:c>
      <x:c r="E269" s="19" t="str">
        <x:v>现场供电与连接诊断</x:v>
      </x:c>
      <x:c r="F269" s="19" t="str">
        <x:v>D 物联网</x:v>
      </x:c>
    </x:row>
    <x:row r="270">
      <x:c r="A270" s="19" t="str">
        <x:v>DISC-0809-0055</x:v>
      </x:c>
      <x:c r="B270" s="19" t="str">
        <x:v>智能科学与技术</x:v>
      </x:c>
      <x:c r="C270" s="19" t="str">
        <x:v>中</x:v>
      </x:c>
      <x:c r="D270" s="19" t="str">
        <x:v>SB</x:v>
      </x:c>
      <x:c r="E270" s="19" t="str">
        <x:v>现场供电与连接诊断</x:v>
      </x:c>
      <x:c r="F270" s="19" t="str">
        <x:v>D 物联网</x:v>
      </x:c>
    </x:row>
    <x:row r="271">
      <x:c r="A271" s="19" t="str">
        <x:v>DISC-0809-0056</x:v>
      </x:c>
      <x:c r="B271" s="19" t="str">
        <x:v>物联网工程</x:v>
      </x:c>
      <x:c r="C271" s="19" t="str">
        <x:v>高</x:v>
      </x:c>
      <x:c r="D271" s="19" t="str">
        <x:v>SB</x:v>
      </x:c>
      <x:c r="E271" s="19" t="str">
        <x:v>FreeRTOS 并发模式</x:v>
      </x:c>
      <x:c r="F271" s="19" t="str">
        <x:v>D 物联网</x:v>
      </x:c>
    </x:row>
    <x:row r="272">
      <x:c r="A272" s="19" t="str">
        <x:v>DISC-0809-0056</x:v>
      </x:c>
      <x:c r="B272" s="19" t="str">
        <x:v>电子与计算机工程</x:v>
      </x:c>
      <x:c r="C272" s="19" t="str">
        <x:v>高</x:v>
      </x:c>
      <x:c r="D272" s="19" t="str">
        <x:v>SB</x:v>
      </x:c>
      <x:c r="E272" s="19" t="str">
        <x:v>FreeRTOS 并发模式</x:v>
      </x:c>
      <x:c r="F272" s="19" t="str">
        <x:v>D 物联网</x:v>
      </x:c>
    </x:row>
    <x:row r="273">
      <x:c r="A273" s="19" t="str">
        <x:v>DISC-0809-0056</x:v>
      </x:c>
      <x:c r="B273" s="19" t="str">
        <x:v>计算机科学与技术</x:v>
      </x:c>
      <x:c r="C273" s="19" t="str">
        <x:v>高</x:v>
      </x:c>
      <x:c r="D273" s="19" t="str">
        <x:v>SB</x:v>
      </x:c>
      <x:c r="E273" s="19" t="str">
        <x:v>FreeRTOS 并发模式</x:v>
      </x:c>
      <x:c r="F273" s="19" t="str">
        <x:v>D 物联网</x:v>
      </x:c>
    </x:row>
    <x:row r="274">
      <x:c r="A274" s="19" t="str">
        <x:v>DISC-0809-0056</x:v>
      </x:c>
      <x:c r="B274" s="19" t="str">
        <x:v>智能科学与技术</x:v>
      </x:c>
      <x:c r="C274" s="19" t="str">
        <x:v>高</x:v>
      </x:c>
      <x:c r="D274" s="19" t="str">
        <x:v>SB</x:v>
      </x:c>
      <x:c r="E274" s="19" t="str">
        <x:v>FreeRTOS 并发模式</x:v>
      </x:c>
      <x:c r="F274" s="19" t="str">
        <x:v>D 物联网</x:v>
      </x:c>
    </x:row>
    <x:row r="275">
      <x:c r="A275" s="19" t="str">
        <x:v>DISC-0809-0057</x:v>
      </x:c>
      <x:c r="B275" s="19" t="str">
        <x:v>物联网工程</x:v>
      </x:c>
      <x:c r="C275" s="19" t="str">
        <x:v>中</x:v>
      </x:c>
      <x:c r="D275" s="19" t="str">
        <x:v>SB</x:v>
      </x:c>
      <x:c r="E275" s="19" t="str">
        <x:v>I2C 上电调试</x:v>
      </x:c>
      <x:c r="F275" s="19" t="str">
        <x:v>D 物联网</x:v>
      </x:c>
    </x:row>
    <x:row r="276">
      <x:c r="A276" s="19" t="str">
        <x:v>DISC-0809-0057</x:v>
      </x:c>
      <x:c r="B276" s="19" t="str">
        <x:v>电子与计算机工程</x:v>
      </x:c>
      <x:c r="C276" s="19" t="str">
        <x:v>中</x:v>
      </x:c>
      <x:c r="D276" s="19" t="str">
        <x:v>SB</x:v>
      </x:c>
      <x:c r="E276" s="19" t="str">
        <x:v>I2C 上电调试</x:v>
      </x:c>
      <x:c r="F276" s="19" t="str">
        <x:v>D 物联网</x:v>
      </x:c>
    </x:row>
    <x:row r="277">
      <x:c r="A277" s="19" t="str">
        <x:v>DISC-0809-0057</x:v>
      </x:c>
      <x:c r="B277" s="19" t="str">
        <x:v>计算机科学与技术</x:v>
      </x:c>
      <x:c r="C277" s="19" t="str">
        <x:v>中</x:v>
      </x:c>
      <x:c r="D277" s="19" t="str">
        <x:v>SB</x:v>
      </x:c>
      <x:c r="E277" s="19" t="str">
        <x:v>I2C 上电调试</x:v>
      </x:c>
      <x:c r="F277" s="19" t="str">
        <x:v>D 物联网</x:v>
      </x:c>
    </x:row>
    <x:row r="278">
      <x:c r="A278" s="19" t="str">
        <x:v>DISC-0809-0057</x:v>
      </x:c>
      <x:c r="B278" s="19" t="str">
        <x:v>智能科学与技术</x:v>
      </x:c>
      <x:c r="C278" s="19" t="str">
        <x:v>中</x:v>
      </x:c>
      <x:c r="D278" s="19" t="str">
        <x:v>SB</x:v>
      </x:c>
      <x:c r="E278" s="19" t="str">
        <x:v>I2C 上电调试</x:v>
      </x:c>
      <x:c r="F278" s="19" t="str">
        <x:v>D 物联网</x:v>
      </x:c>
    </x:row>
    <x:row r="279">
      <x:c r="A279" s="19" t="str">
        <x:v>DISC-0809-0058</x:v>
      </x:c>
      <x:c r="B279" s="19" t="str">
        <x:v>物联网工程</x:v>
      </x:c>
      <x:c r="C279" s="19" t="str">
        <x:v>中</x:v>
      </x:c>
      <x:c r="D279" s="19" t="str">
        <x:v>SB</x:v>
      </x:c>
      <x:c r="E279" s="19" t="str">
        <x:v>嵌入式功耗预算</x:v>
      </x:c>
      <x:c r="F279" s="19" t="str">
        <x:v>D 物联网</x:v>
      </x:c>
    </x:row>
    <x:row r="280">
      <x:c r="A280" s="19" t="str">
        <x:v>DISC-0809-0058</x:v>
      </x:c>
      <x:c r="B280" s="19" t="str">
        <x:v>电子与计算机工程</x:v>
      </x:c>
      <x:c r="C280" s="19" t="str">
        <x:v>中</x:v>
      </x:c>
      <x:c r="D280" s="19" t="str">
        <x:v>SB</x:v>
      </x:c>
      <x:c r="E280" s="19" t="str">
        <x:v>嵌入式功耗预算</x:v>
      </x:c>
      <x:c r="F280" s="19" t="str">
        <x:v>D 物联网</x:v>
      </x:c>
    </x:row>
    <x:row r="281">
      <x:c r="A281" s="19" t="str">
        <x:v>DISC-0809-0058</x:v>
      </x:c>
      <x:c r="B281" s="19" t="str">
        <x:v>计算机科学与技术</x:v>
      </x:c>
      <x:c r="C281" s="19" t="str">
        <x:v>中</x:v>
      </x:c>
      <x:c r="D281" s="19" t="str">
        <x:v>SB</x:v>
      </x:c>
      <x:c r="E281" s="19" t="str">
        <x:v>嵌入式功耗预算</x:v>
      </x:c>
      <x:c r="F281" s="19" t="str">
        <x:v>D 物联网</x:v>
      </x:c>
    </x:row>
    <x:row r="282">
      <x:c r="A282" s="19" t="str">
        <x:v>DISC-0809-0058</x:v>
      </x:c>
      <x:c r="B282" s="19" t="str">
        <x:v>智能科学与技术</x:v>
      </x:c>
      <x:c r="C282" s="19" t="str">
        <x:v>中</x:v>
      </x:c>
      <x:c r="D282" s="19" t="str">
        <x:v>SB</x:v>
      </x:c>
      <x:c r="E282" s="19" t="str">
        <x:v>嵌入式功耗预算</x:v>
      </x:c>
      <x:c r="F282" s="19" t="str">
        <x:v>D 物联网</x:v>
      </x:c>
    </x:row>
    <x:row r="283">
      <x:c r="A283" s="19" t="str">
        <x:v>DISC-0809-0059</x:v>
      </x:c>
      <x:c r="B283" s="19" t="str">
        <x:v>物联网工程</x:v>
      </x:c>
      <x:c r="C283" s="19" t="str">
        <x:v>中</x:v>
      </x:c>
      <x:c r="D283" s="19" t="str">
        <x:v>SB</x:v>
      </x:c>
      <x:c r="E283" s="19" t="str">
        <x:v>传感器校准工作台</x:v>
      </x:c>
      <x:c r="F283" s="19" t="str">
        <x:v>D 物联网</x:v>
      </x:c>
    </x:row>
    <x:row r="284">
      <x:c r="A284" s="19" t="str">
        <x:v>DISC-0809-0059</x:v>
      </x:c>
      <x:c r="B284" s="19" t="str">
        <x:v>电子与计算机工程</x:v>
      </x:c>
      <x:c r="C284" s="19" t="str">
        <x:v>中</x:v>
      </x:c>
      <x:c r="D284" s="19" t="str">
        <x:v>SB</x:v>
      </x:c>
      <x:c r="E284" s="19" t="str">
        <x:v>传感器校准工作台</x:v>
      </x:c>
      <x:c r="F284" s="19" t="str">
        <x:v>D 物联网</x:v>
      </x:c>
    </x:row>
    <x:row r="285">
      <x:c r="A285" s="19" t="str">
        <x:v>DISC-0809-0059</x:v>
      </x:c>
      <x:c r="B285" s="19" t="str">
        <x:v>计算机科学与技术</x:v>
      </x:c>
      <x:c r="C285" s="19" t="str">
        <x:v>中</x:v>
      </x:c>
      <x:c r="D285" s="19" t="str">
        <x:v>SB</x:v>
      </x:c>
      <x:c r="E285" s="19" t="str">
        <x:v>传感器校准工作台</x:v>
      </x:c>
      <x:c r="F285" s="19" t="str">
        <x:v>D 物联网</x:v>
      </x:c>
    </x:row>
    <x:row r="286">
      <x:c r="A286" s="19" t="str">
        <x:v>DISC-0809-0059</x:v>
      </x:c>
      <x:c r="B286" s="19" t="str">
        <x:v>智能科学与技术</x:v>
      </x:c>
      <x:c r="C286" s="19" t="str">
        <x:v>中</x:v>
      </x:c>
      <x:c r="D286" s="19" t="str">
        <x:v>SB</x:v>
      </x:c>
      <x:c r="E286" s="19" t="str">
        <x:v>传感器校准工作台</x:v>
      </x:c>
      <x:c r="F286" s="19" t="str">
        <x:v>D 物联网</x:v>
      </x:c>
    </x:row>
    <x:row r="287">
      <x:c r="A287" s="19" t="str">
        <x:v>DISC-0809-0060</x:v>
      </x:c>
      <x:c r="B287" s="19" t="str">
        <x:v>智能科学与技术</x:v>
      </x:c>
      <x:c r="C287" s="19" t="str">
        <x:v>中</x:v>
      </x:c>
      <x:c r="D287" s="19" t="str">
        <x:v>SB-A</x:v>
      </x:c>
      <x:c r="E287" s="19" t="str">
        <x:v>Dask 并行数据处理</x:v>
      </x:c>
      <x:c r="F287" s="19" t="str">
        <x:v>E AI与数据</x:v>
      </x:c>
    </x:row>
    <x:row r="288">
      <x:c r="A288" s="19" t="str">
        <x:v>DISC-0809-0060</x:v>
      </x:c>
      <x:c r="B288" s="19" t="str">
        <x:v>数据科学与大数据技术</x:v>
      </x:c>
      <x:c r="C288" s="19" t="str">
        <x:v>中</x:v>
      </x:c>
      <x:c r="D288" s="19" t="str">
        <x:v>SB-A</x:v>
      </x:c>
      <x:c r="E288" s="19" t="str">
        <x:v>Dask 并行数据处理</x:v>
      </x:c>
      <x:c r="F288" s="19" t="str">
        <x:v>E AI与数据</x:v>
      </x:c>
    </x:row>
    <x:row r="289">
      <x:c r="A289" s="19" t="str">
        <x:v>DISC-0809-0060</x:v>
      </x:c>
      <x:c r="B289" s="19" t="str">
        <x:v>计算机科学与技术</x:v>
      </x:c>
      <x:c r="C289" s="19" t="str">
        <x:v>中</x:v>
      </x:c>
      <x:c r="D289" s="19" t="str">
        <x:v>SB-A</x:v>
      </x:c>
      <x:c r="E289" s="19" t="str">
        <x:v>Dask 并行数据处理</x:v>
      </x:c>
      <x:c r="F289" s="19" t="str">
        <x:v>E AI与数据</x:v>
      </x:c>
    </x:row>
    <x:row r="290">
      <x:c r="A290" s="19" t="str">
        <x:v>DISC-0809-0060</x:v>
      </x:c>
      <x:c r="B290" s="19" t="str">
        <x:v>空间信息与数字技术</x:v>
      </x:c>
      <x:c r="C290" s="19" t="str">
        <x:v>中</x:v>
      </x:c>
      <x:c r="D290" s="19" t="str">
        <x:v>SB-A</x:v>
      </x:c>
      <x:c r="E290" s="19" t="str">
        <x:v>Dask 并行数据处理</x:v>
      </x:c>
      <x:c r="F290" s="19" t="str">
        <x:v>E AI与数据</x:v>
      </x:c>
    </x:row>
    <x:row r="291">
      <x:c r="A291" s="19" t="str">
        <x:v>DISC-0809-0061</x:v>
      </x:c>
      <x:c r="B291" s="19" t="str">
        <x:v>智能科学与技术</x:v>
      </x:c>
      <x:c r="C291" s="19" t="str">
        <x:v>高</x:v>
      </x:c>
      <x:c r="D291" s="19" t="str">
        <x:v>SB-A</x:v>
      </x:c>
      <x:c r="E291" s="19" t="str">
        <x:v>探索性数据分析</x:v>
      </x:c>
      <x:c r="F291" s="19" t="str">
        <x:v>E AI与数据</x:v>
      </x:c>
    </x:row>
    <x:row r="292">
      <x:c r="A292" s="19" t="str">
        <x:v>DISC-0809-0061</x:v>
      </x:c>
      <x:c r="B292" s="19" t="str">
        <x:v>数据科学与大数据技术</x:v>
      </x:c>
      <x:c r="C292" s="19" t="str">
        <x:v>高</x:v>
      </x:c>
      <x:c r="D292" s="19" t="str">
        <x:v>SB-A</x:v>
      </x:c>
      <x:c r="E292" s="19" t="str">
        <x:v>探索性数据分析</x:v>
      </x:c>
      <x:c r="F292" s="19" t="str">
        <x:v>E AI与数据</x:v>
      </x:c>
    </x:row>
    <x:row r="293">
      <x:c r="A293" s="19" t="str">
        <x:v>DISC-0809-0061</x:v>
      </x:c>
      <x:c r="B293" s="19" t="str">
        <x:v>计算机科学与技术</x:v>
      </x:c>
      <x:c r="C293" s="19" t="str">
        <x:v>高</x:v>
      </x:c>
      <x:c r="D293" s="19" t="str">
        <x:v>SB-A</x:v>
      </x:c>
      <x:c r="E293" s="19" t="str">
        <x:v>探索性数据分析</x:v>
      </x:c>
      <x:c r="F293" s="19" t="str">
        <x:v>E AI与数据</x:v>
      </x:c>
    </x:row>
    <x:row r="294">
      <x:c r="A294" s="19" t="str">
        <x:v>DISC-0809-0061</x:v>
      </x:c>
      <x:c r="B294" s="19" t="str">
        <x:v>空间信息与数字技术</x:v>
      </x:c>
      <x:c r="C294" s="19" t="str">
        <x:v>高</x:v>
      </x:c>
      <x:c r="D294" s="19" t="str">
        <x:v>SB-A</x:v>
      </x:c>
      <x:c r="E294" s="19" t="str">
        <x:v>探索性数据分析</x:v>
      </x:c>
      <x:c r="F294" s="19" t="str">
        <x:v>E AI与数据</x:v>
      </x:c>
    </x:row>
    <x:row r="295">
      <x:c r="A295" s="19" t="str">
        <x:v>DISC-0809-0062</x:v>
      </x:c>
      <x:c r="B295" s="19" t="str">
        <x:v>智能科学与技术</x:v>
      </x:c>
      <x:c r="C295" s="19" t="str">
        <x:v>中</x:v>
      </x:c>
      <x:c r="D295" s="19" t="str">
        <x:v>SB-A</x:v>
      </x:c>
      <x:c r="E295" s="19" t="str">
        <x:v>Matplotlib 绘图</x:v>
      </x:c>
      <x:c r="F295" s="19" t="str">
        <x:v>E AI与数据</x:v>
      </x:c>
    </x:row>
    <x:row r="296">
      <x:c r="A296" s="19" t="str">
        <x:v>DISC-0809-0062</x:v>
      </x:c>
      <x:c r="B296" s="19" t="str">
        <x:v>数据科学与大数据技术</x:v>
      </x:c>
      <x:c r="C296" s="19" t="str">
        <x:v>中</x:v>
      </x:c>
      <x:c r="D296" s="19" t="str">
        <x:v>SB-A</x:v>
      </x:c>
      <x:c r="E296" s="19" t="str">
        <x:v>Matplotlib 绘图</x:v>
      </x:c>
      <x:c r="F296" s="19" t="str">
        <x:v>E AI与数据</x:v>
      </x:c>
    </x:row>
    <x:row r="297">
      <x:c r="A297" s="19" t="str">
        <x:v>DISC-0809-0062</x:v>
      </x:c>
      <x:c r="B297" s="19" t="str">
        <x:v>计算机科学与技术</x:v>
      </x:c>
      <x:c r="C297" s="19" t="str">
        <x:v>中</x:v>
      </x:c>
      <x:c r="D297" s="19" t="str">
        <x:v>SB-A</x:v>
      </x:c>
      <x:c r="E297" s="19" t="str">
        <x:v>Matplotlib 绘图</x:v>
      </x:c>
      <x:c r="F297" s="19" t="str">
        <x:v>E AI与数据</x:v>
      </x:c>
    </x:row>
    <x:row r="298">
      <x:c r="A298" s="19" t="str">
        <x:v>DISC-0809-0062</x:v>
      </x:c>
      <x:c r="B298" s="19" t="str">
        <x:v>空间信息与数字技术</x:v>
      </x:c>
      <x:c r="C298" s="19" t="str">
        <x:v>中</x:v>
      </x:c>
      <x:c r="D298" s="19" t="str">
        <x:v>SB-A</x:v>
      </x:c>
      <x:c r="E298" s="19" t="str">
        <x:v>Matplotlib 绘图</x:v>
      </x:c>
      <x:c r="F298" s="19" t="str">
        <x:v>E AI与数据</x:v>
      </x:c>
    </x:row>
    <x:row r="299">
      <x:c r="A299" s="19" t="str">
        <x:v>DISC-0809-0063</x:v>
      </x:c>
      <x:c r="B299" s="19" t="str">
        <x:v>智能科学与技术</x:v>
      </x:c>
      <x:c r="C299" s="19" t="str">
        <x:v>中</x:v>
      </x:c>
      <x:c r="D299" s="19" t="str">
        <x:v>SB-A</x:v>
      </x:c>
      <x:c r="E299" s="19" t="str">
        <x:v>GPU 计算优化</x:v>
      </x:c>
      <x:c r="F299" s="19" t="str">
        <x:v>E AI与数据</x:v>
      </x:c>
    </x:row>
    <x:row r="300">
      <x:c r="A300" s="19" t="str">
        <x:v>DISC-0809-0063</x:v>
      </x:c>
      <x:c r="B300" s="19" t="str">
        <x:v>数据科学与大数据技术</x:v>
      </x:c>
      <x:c r="C300" s="19" t="str">
        <x:v>中</x:v>
      </x:c>
      <x:c r="D300" s="19" t="str">
        <x:v>SB-A</x:v>
      </x:c>
      <x:c r="E300" s="19" t="str">
        <x:v>GPU 计算优化</x:v>
      </x:c>
      <x:c r="F300" s="19" t="str">
        <x:v>E AI与数据</x:v>
      </x:c>
    </x:row>
    <x:row r="301">
      <x:c r="A301" s="19" t="str">
        <x:v>DISC-0809-0063</x:v>
      </x:c>
      <x:c r="B301" s="19" t="str">
        <x:v>计算机科学与技术</x:v>
      </x:c>
      <x:c r="C301" s="19" t="str">
        <x:v>中</x:v>
      </x:c>
      <x:c r="D301" s="19" t="str">
        <x:v>SB-A</x:v>
      </x:c>
      <x:c r="E301" s="19" t="str">
        <x:v>GPU 计算优化</x:v>
      </x:c>
      <x:c r="F301" s="19" t="str">
        <x:v>E AI与数据</x:v>
      </x:c>
    </x:row>
    <x:row r="302">
      <x:c r="A302" s="19" t="str">
        <x:v>DISC-0809-0063</x:v>
      </x:c>
      <x:c r="B302" s="19" t="str">
        <x:v>空间信息与数字技术</x:v>
      </x:c>
      <x:c r="C302" s="19" t="str">
        <x:v>中</x:v>
      </x:c>
      <x:c r="D302" s="19" t="str">
        <x:v>SB-A</x:v>
      </x:c>
      <x:c r="E302" s="19" t="str">
        <x:v>GPU 计算优化</x:v>
      </x:c>
      <x:c r="F302" s="19" t="str">
        <x:v>E AI与数据</x:v>
      </x:c>
    </x:row>
    <x:row r="303">
      <x:c r="A303" s="19" t="str">
        <x:v>DISC-0809-0064</x:v>
      </x:c>
      <x:c r="B303" s="19" t="str">
        <x:v>智能科学与技术</x:v>
      </x:c>
      <x:c r="C303" s="19" t="str">
        <x:v>中</x:v>
      </x:c>
      <x:c r="D303" s="19" t="str">
        <x:v>SB-A</x:v>
      </x:c>
      <x:c r="E303" s="19" t="str">
        <x:v>Polars 高性能表格处理</x:v>
      </x:c>
      <x:c r="F303" s="19" t="str">
        <x:v>E AI与数据</x:v>
      </x:c>
    </x:row>
    <x:row r="304">
      <x:c r="A304" s="19" t="str">
        <x:v>DISC-0809-0064</x:v>
      </x:c>
      <x:c r="B304" s="19" t="str">
        <x:v>数据科学与大数据技术</x:v>
      </x:c>
      <x:c r="C304" s="19" t="str">
        <x:v>中</x:v>
      </x:c>
      <x:c r="D304" s="19" t="str">
        <x:v>SB-A</x:v>
      </x:c>
      <x:c r="E304" s="19" t="str">
        <x:v>Polars 高性能表格处理</x:v>
      </x:c>
      <x:c r="F304" s="19" t="str">
        <x:v>E AI与数据</x:v>
      </x:c>
    </x:row>
    <x:row r="305">
      <x:c r="A305" s="19" t="str">
        <x:v>DISC-0809-0064</x:v>
      </x:c>
      <x:c r="B305" s="19" t="str">
        <x:v>计算机科学与技术</x:v>
      </x:c>
      <x:c r="C305" s="19" t="str">
        <x:v>中</x:v>
      </x:c>
      <x:c r="D305" s="19" t="str">
        <x:v>SB-A</x:v>
      </x:c>
      <x:c r="E305" s="19" t="str">
        <x:v>Polars 高性能表格处理</x:v>
      </x:c>
      <x:c r="F305" s="19" t="str">
        <x:v>E AI与数据</x:v>
      </x:c>
    </x:row>
    <x:row r="306">
      <x:c r="A306" s="19" t="str">
        <x:v>DISC-0809-0064</x:v>
      </x:c>
      <x:c r="B306" s="19" t="str">
        <x:v>空间信息与数字技术</x:v>
      </x:c>
      <x:c r="C306" s="19" t="str">
        <x:v>中</x:v>
      </x:c>
      <x:c r="D306" s="19" t="str">
        <x:v>SB-A</x:v>
      </x:c>
      <x:c r="E306" s="19" t="str">
        <x:v>Polars 高性能表格处理</x:v>
      </x:c>
      <x:c r="F306" s="19" t="str">
        <x:v>E AI与数据</x:v>
      </x:c>
    </x:row>
    <x:row r="307">
      <x:c r="A307" s="19" t="str">
        <x:v>DISC-0809-0065</x:v>
      </x:c>
      <x:c r="B307" s="19" t="str">
        <x:v>智能科学与技术</x:v>
      </x:c>
      <x:c r="C307" s="19" t="str">
        <x:v>中</x:v>
      </x:c>
      <x:c r="D307" s="19" t="str">
        <x:v>SB-A</x:v>
      </x:c>
      <x:c r="E307" s="19" t="str">
        <x:v>PyTorch Lightning 训练工程</x:v>
      </x:c>
      <x:c r="F307" s="19" t="str">
        <x:v>E AI与数据</x:v>
      </x:c>
    </x:row>
    <x:row r="308">
      <x:c r="A308" s="19" t="str">
        <x:v>DISC-0809-0065</x:v>
      </x:c>
      <x:c r="B308" s="19" t="str">
        <x:v>数据科学与大数据技术</x:v>
      </x:c>
      <x:c r="C308" s="19" t="str">
        <x:v>中</x:v>
      </x:c>
      <x:c r="D308" s="19" t="str">
        <x:v>SB-A</x:v>
      </x:c>
      <x:c r="E308" s="19" t="str">
        <x:v>PyTorch Lightning 训练工程</x:v>
      </x:c>
      <x:c r="F308" s="19" t="str">
        <x:v>E AI与数据</x:v>
      </x:c>
    </x:row>
    <x:row r="309">
      <x:c r="A309" s="19" t="str">
        <x:v>DISC-0809-0065</x:v>
      </x:c>
      <x:c r="B309" s="19" t="str">
        <x:v>计算机科学与技术</x:v>
      </x:c>
      <x:c r="C309" s="19" t="str">
        <x:v>中</x:v>
      </x:c>
      <x:c r="D309" s="19" t="str">
        <x:v>SB-A</x:v>
      </x:c>
      <x:c r="E309" s="19" t="str">
        <x:v>PyTorch Lightning 训练工程</x:v>
      </x:c>
      <x:c r="F309" s="19" t="str">
        <x:v>E AI与数据</x:v>
      </x:c>
    </x:row>
    <x:row r="310">
      <x:c r="A310" s="19" t="str">
        <x:v>DISC-0809-0065</x:v>
      </x:c>
      <x:c r="B310" s="19" t="str">
        <x:v>空间信息与数字技术</x:v>
      </x:c>
      <x:c r="C310" s="19" t="str">
        <x:v>中</x:v>
      </x:c>
      <x:c r="D310" s="19" t="str">
        <x:v>SB-A</x:v>
      </x:c>
      <x:c r="E310" s="19" t="str">
        <x:v>PyTorch Lightning 训练工程</x:v>
      </x:c>
      <x:c r="F310" s="19" t="str">
        <x:v>E AI与数据</x:v>
      </x:c>
    </x:row>
    <x:row r="311">
      <x:c r="A311" s="19" t="str">
        <x:v>DISC-0809-0066</x:v>
      </x:c>
      <x:c r="B311" s="19" t="str">
        <x:v>智能科学与技术</x:v>
      </x:c>
      <x:c r="C311" s="19" t="str">
        <x:v>中</x:v>
      </x:c>
      <x:c r="D311" s="19" t="str">
        <x:v>SB-A</x:v>
      </x:c>
      <x:c r="E311" s="19" t="str">
        <x:v>科学可视化</x:v>
      </x:c>
      <x:c r="F311" s="19" t="str">
        <x:v>E AI与数据</x:v>
      </x:c>
    </x:row>
    <x:row r="312">
      <x:c r="A312" s="19" t="str">
        <x:v>DISC-0809-0066</x:v>
      </x:c>
      <x:c r="B312" s="19" t="str">
        <x:v>数据科学与大数据技术</x:v>
      </x:c>
      <x:c r="C312" s="19" t="str">
        <x:v>中</x:v>
      </x:c>
      <x:c r="D312" s="19" t="str">
        <x:v>SB-A</x:v>
      </x:c>
      <x:c r="E312" s="19" t="str">
        <x:v>科学可视化</x:v>
      </x:c>
      <x:c r="F312" s="19" t="str">
        <x:v>E AI与数据</x:v>
      </x:c>
    </x:row>
    <x:row r="313">
      <x:c r="A313" s="19" t="str">
        <x:v>DISC-0809-0066</x:v>
      </x:c>
      <x:c r="B313" s="19" t="str">
        <x:v>计算机科学与技术</x:v>
      </x:c>
      <x:c r="C313" s="19" t="str">
        <x:v>中</x:v>
      </x:c>
      <x:c r="D313" s="19" t="str">
        <x:v>SB-A</x:v>
      </x:c>
      <x:c r="E313" s="19" t="str">
        <x:v>科学可视化</x:v>
      </x:c>
      <x:c r="F313" s="19" t="str">
        <x:v>E AI与数据</x:v>
      </x:c>
    </x:row>
    <x:row r="314">
      <x:c r="A314" s="19" t="str">
        <x:v>DISC-0809-0066</x:v>
      </x:c>
      <x:c r="B314" s="19" t="str">
        <x:v>空间信息与数字技术</x:v>
      </x:c>
      <x:c r="C314" s="19" t="str">
        <x:v>中</x:v>
      </x:c>
      <x:c r="D314" s="19" t="str">
        <x:v>SB-A</x:v>
      </x:c>
      <x:c r="E314" s="19" t="str">
        <x:v>科学可视化</x:v>
      </x:c>
      <x:c r="F314" s="19" t="str">
        <x:v>E AI与数据</x:v>
      </x:c>
    </x:row>
    <x:row r="315">
      <x:c r="A315" s="19" t="str">
        <x:v>DISC-0809-0067</x:v>
      </x:c>
      <x:c r="B315" s="19" t="str">
        <x:v>智能科学与技术</x:v>
      </x:c>
      <x:c r="C315" s="19" t="str">
        <x:v>高</x:v>
      </x:c>
      <x:c r="D315" s="19" t="str">
        <x:v>SB-A</x:v>
      </x:c>
      <x:c r="E315" s="19" t="str">
        <x:v>Scikit-learn 机器学习</x:v>
      </x:c>
      <x:c r="F315" s="19" t="str">
        <x:v>E AI与数据</x:v>
      </x:c>
    </x:row>
    <x:row r="316">
      <x:c r="A316" s="19" t="str">
        <x:v>DISC-0809-0067</x:v>
      </x:c>
      <x:c r="B316" s="19" t="str">
        <x:v>数据科学与大数据技术</x:v>
      </x:c>
      <x:c r="C316" s="19" t="str">
        <x:v>高</x:v>
      </x:c>
      <x:c r="D316" s="19" t="str">
        <x:v>SB-A</x:v>
      </x:c>
      <x:c r="E316" s="19" t="str">
        <x:v>Scikit-learn 机器学习</x:v>
      </x:c>
      <x:c r="F316" s="19" t="str">
        <x:v>E AI与数据</x:v>
      </x:c>
    </x:row>
    <x:row r="317">
      <x:c r="A317" s="19" t="str">
        <x:v>DISC-0809-0067</x:v>
      </x:c>
      <x:c r="B317" s="19" t="str">
        <x:v>计算机科学与技术</x:v>
      </x:c>
      <x:c r="C317" s="19" t="str">
        <x:v>高</x:v>
      </x:c>
      <x:c r="D317" s="19" t="str">
        <x:v>SB-A</x:v>
      </x:c>
      <x:c r="E317" s="19" t="str">
        <x:v>Scikit-learn 机器学习</x:v>
      </x:c>
      <x:c r="F317" s="19" t="str">
        <x:v>E AI与数据</x:v>
      </x:c>
    </x:row>
    <x:row r="318">
      <x:c r="A318" s="19" t="str">
        <x:v>DISC-0809-0067</x:v>
      </x:c>
      <x:c r="B318" s="19" t="str">
        <x:v>空间信息与数字技术</x:v>
      </x:c>
      <x:c r="C318" s="19" t="str">
        <x:v>高</x:v>
      </x:c>
      <x:c r="D318" s="19" t="str">
        <x:v>SB-A</x:v>
      </x:c>
      <x:c r="E318" s="19" t="str">
        <x:v>Scikit-learn 机器学习</x:v>
      </x:c>
      <x:c r="F318" s="19" t="str">
        <x:v>E AI与数据</x:v>
      </x:c>
    </x:row>
    <x:row r="319">
      <x:c r="A319" s="19" t="str">
        <x:v>DISC-0809-0068</x:v>
      </x:c>
      <x:c r="B319" s="19" t="str">
        <x:v>智能科学与技术</x:v>
      </x:c>
      <x:c r="C319" s="19" t="str">
        <x:v>中</x:v>
      </x:c>
      <x:c r="D319" s="19" t="str">
        <x:v>SB-A</x:v>
      </x:c>
      <x:c r="E319" s="19" t="str">
        <x:v>SHAP 模型解释</x:v>
      </x:c>
      <x:c r="F319" s="19" t="str">
        <x:v>E AI与数据</x:v>
      </x:c>
    </x:row>
    <x:row r="320">
      <x:c r="A320" s="19" t="str">
        <x:v>DISC-0809-0068</x:v>
      </x:c>
      <x:c r="B320" s="19" t="str">
        <x:v>数据科学与大数据技术</x:v>
      </x:c>
      <x:c r="C320" s="19" t="str">
        <x:v>中</x:v>
      </x:c>
      <x:c r="D320" s="19" t="str">
        <x:v>SB-A</x:v>
      </x:c>
      <x:c r="E320" s="19" t="str">
        <x:v>SHAP 模型解释</x:v>
      </x:c>
      <x:c r="F320" s="19" t="str">
        <x:v>E AI与数据</x:v>
      </x:c>
    </x:row>
    <x:row r="321">
      <x:c r="A321" s="19" t="str">
        <x:v>DISC-0809-0068</x:v>
      </x:c>
      <x:c r="B321" s="19" t="str">
        <x:v>计算机科学与技术</x:v>
      </x:c>
      <x:c r="C321" s="19" t="str">
        <x:v>中</x:v>
      </x:c>
      <x:c r="D321" s="19" t="str">
        <x:v>SB-A</x:v>
      </x:c>
      <x:c r="E321" s="19" t="str">
        <x:v>SHAP 模型解释</x:v>
      </x:c>
      <x:c r="F321" s="19" t="str">
        <x:v>E AI与数据</x:v>
      </x:c>
    </x:row>
    <x:row r="322">
      <x:c r="A322" s="19" t="str">
        <x:v>DISC-0809-0068</x:v>
      </x:c>
      <x:c r="B322" s="19" t="str">
        <x:v>空间信息与数字技术</x:v>
      </x:c>
      <x:c r="C322" s="19" t="str">
        <x:v>中</x:v>
      </x:c>
      <x:c r="D322" s="19" t="str">
        <x:v>SB-A</x:v>
      </x:c>
      <x:c r="E322" s="19" t="str">
        <x:v>SHAP 模型解释</x:v>
      </x:c>
      <x:c r="F322" s="19" t="str">
        <x:v>E AI与数据</x:v>
      </x:c>
    </x:row>
    <x:row r="323">
      <x:c r="A323" s="19" t="str">
        <x:v>DISC-0809-0069</x:v>
      </x:c>
      <x:c r="B323" s="19" t="str">
        <x:v>智能科学与技术</x:v>
      </x:c>
      <x:c r="C323" s="19" t="str">
        <x:v>中</x:v>
      </x:c>
      <x:c r="D323" s="19" t="str">
        <x:v>SB-A</x:v>
      </x:c>
      <x:c r="E323" s="19" t="str">
        <x:v>Statsmodels 统计建模</x:v>
      </x:c>
      <x:c r="F323" s="19" t="str">
        <x:v>E AI与数据</x:v>
      </x:c>
    </x:row>
    <x:row r="324">
      <x:c r="A324" s="19" t="str">
        <x:v>DISC-0809-0069</x:v>
      </x:c>
      <x:c r="B324" s="19" t="str">
        <x:v>数据科学与大数据技术</x:v>
      </x:c>
      <x:c r="C324" s="19" t="str">
        <x:v>中</x:v>
      </x:c>
      <x:c r="D324" s="19" t="str">
        <x:v>SB-A</x:v>
      </x:c>
      <x:c r="E324" s="19" t="str">
        <x:v>Statsmodels 统计建模</x:v>
      </x:c>
      <x:c r="F324" s="19" t="str">
        <x:v>E AI与数据</x:v>
      </x:c>
    </x:row>
    <x:row r="325">
      <x:c r="A325" s="19" t="str">
        <x:v>DISC-0809-0069</x:v>
      </x:c>
      <x:c r="B325" s="19" t="str">
        <x:v>计算机科学与技术</x:v>
      </x:c>
      <x:c r="C325" s="19" t="str">
        <x:v>中</x:v>
      </x:c>
      <x:c r="D325" s="19" t="str">
        <x:v>SB-A</x:v>
      </x:c>
      <x:c r="E325" s="19" t="str">
        <x:v>Statsmodels 统计建模</x:v>
      </x:c>
      <x:c r="F325" s="19" t="str">
        <x:v>E AI与数据</x:v>
      </x:c>
    </x:row>
    <x:row r="326">
      <x:c r="A326" s="19" t="str">
        <x:v>DISC-0809-0069</x:v>
      </x:c>
      <x:c r="B326" s="19" t="str">
        <x:v>空间信息与数字技术</x:v>
      </x:c>
      <x:c r="C326" s="19" t="str">
        <x:v>中</x:v>
      </x:c>
      <x:c r="D326" s="19" t="str">
        <x:v>SB-A</x:v>
      </x:c>
      <x:c r="E326" s="19" t="str">
        <x:v>Statsmodels 统计建模</x:v>
      </x:c>
      <x:c r="F326" s="19" t="str">
        <x:v>E AI与数据</x:v>
      </x:c>
    </x:row>
    <x:row r="327">
      <x:c r="A327" s="19" t="str">
        <x:v>DISC-0809-0070</x:v>
      </x:c>
      <x:c r="B327" s="19" t="str">
        <x:v>智能科学与技术</x:v>
      </x:c>
      <x:c r="C327" s="19" t="str">
        <x:v>中</x:v>
      </x:c>
      <x:c r="D327" s="19" t="str">
        <x:v>SB-A</x:v>
      </x:c>
      <x:c r="E327" s="19" t="str">
        <x:v>Transformers 模型应用</x:v>
      </x:c>
      <x:c r="F327" s="19" t="str">
        <x:v>E AI与数据</x:v>
      </x:c>
    </x:row>
    <x:row r="328">
      <x:c r="A328" s="19" t="str">
        <x:v>DISC-0809-0070</x:v>
      </x:c>
      <x:c r="B328" s="19" t="str">
        <x:v>数据科学与大数据技术</x:v>
      </x:c>
      <x:c r="C328" s="19" t="str">
        <x:v>中</x:v>
      </x:c>
      <x:c r="D328" s="19" t="str">
        <x:v>SB-A</x:v>
      </x:c>
      <x:c r="E328" s="19" t="str">
        <x:v>Transformers 模型应用</x:v>
      </x:c>
      <x:c r="F328" s="19" t="str">
        <x:v>E AI与数据</x:v>
      </x:c>
    </x:row>
    <x:row r="329">
      <x:c r="A329" s="19" t="str">
        <x:v>DISC-0809-0070</x:v>
      </x:c>
      <x:c r="B329" s="19" t="str">
        <x:v>计算机科学与技术</x:v>
      </x:c>
      <x:c r="C329" s="19" t="str">
        <x:v>中</x:v>
      </x:c>
      <x:c r="D329" s="19" t="str">
        <x:v>SB-A</x:v>
      </x:c>
      <x:c r="E329" s="19" t="str">
        <x:v>Transformers 模型应用</x:v>
      </x:c>
      <x:c r="F329" s="19" t="str">
        <x:v>E AI与数据</x:v>
      </x:c>
    </x:row>
    <x:row r="330">
      <x:c r="A330" s="19" t="str">
        <x:v>DISC-0809-0070</x:v>
      </x:c>
      <x:c r="B330" s="19" t="str">
        <x:v>空间信息与数字技术</x:v>
      </x:c>
      <x:c r="C330" s="19" t="str">
        <x:v>中</x:v>
      </x:c>
      <x:c r="D330" s="19" t="str">
        <x:v>SB-A</x:v>
      </x:c>
      <x:c r="E330" s="19" t="str">
        <x:v>Transformers 模型应用</x:v>
      </x:c>
      <x:c r="F330" s="19" t="str">
        <x:v>E AI与数据</x:v>
      </x:c>
    </x:row>
    <x:row r="331">
      <x:c r="A331" s="19" t="str">
        <x:v>DISC-0809-0071</x:v>
      </x:c>
      <x:c r="B331" s="19" t="str">
        <x:v>智能科学与技术</x:v>
      </x:c>
      <x:c r="C331" s="19" t="str">
        <x:v>中</x:v>
      </x:c>
      <x:c r="D331" s="19" t="str">
        <x:v>SB-A</x:v>
      </x:c>
      <x:c r="E331" s="19" t="str">
        <x:v>不确定度与单位</x:v>
      </x:c>
      <x:c r="F331" s="19" t="str">
        <x:v>E AI与数据</x:v>
      </x:c>
    </x:row>
    <x:row r="332">
      <x:c r="A332" s="19" t="str">
        <x:v>DISC-0809-0071</x:v>
      </x:c>
      <x:c r="B332" s="19" t="str">
        <x:v>数据科学与大数据技术</x:v>
      </x:c>
      <x:c r="C332" s="19" t="str">
        <x:v>中</x:v>
      </x:c>
      <x:c r="D332" s="19" t="str">
        <x:v>SB-A</x:v>
      </x:c>
      <x:c r="E332" s="19" t="str">
        <x:v>不确定度与单位</x:v>
      </x:c>
      <x:c r="F332" s="19" t="str">
        <x:v>E AI与数据</x:v>
      </x:c>
    </x:row>
    <x:row r="333">
      <x:c r="A333" s="19" t="str">
        <x:v>DISC-0809-0071</x:v>
      </x:c>
      <x:c r="B333" s="19" t="str">
        <x:v>计算机科学与技术</x:v>
      </x:c>
      <x:c r="C333" s="19" t="str">
        <x:v>中</x:v>
      </x:c>
      <x:c r="D333" s="19" t="str">
        <x:v>SB-A</x:v>
      </x:c>
      <x:c r="E333" s="19" t="str">
        <x:v>不确定度与单位</x:v>
      </x:c>
      <x:c r="F333" s="19" t="str">
        <x:v>E AI与数据</x:v>
      </x:c>
    </x:row>
    <x:row r="334">
      <x:c r="A334" s="19" t="str">
        <x:v>DISC-0809-0071</x:v>
      </x:c>
      <x:c r="B334" s="19" t="str">
        <x:v>空间信息与数字技术</x:v>
      </x:c>
      <x:c r="C334" s="19" t="str">
        <x:v>中</x:v>
      </x:c>
      <x:c r="D334" s="19" t="str">
        <x:v>SB-A</x:v>
      </x:c>
      <x:c r="E334" s="19" t="str">
        <x:v>不确定度与单位</x:v>
      </x:c>
      <x:c r="F334" s="19" t="str">
        <x:v>E AI与数据</x:v>
      </x:c>
    </x:row>
    <x:row r="335">
      <x:c r="A335" s="19" t="str">
        <x:v>DISC-0809-0072</x:v>
      </x:c>
      <x:c r="B335" s="19" t="str">
        <x:v>智能科学与技术</x:v>
      </x:c>
      <x:c r="C335" s="19" t="str">
        <x:v>中</x:v>
      </x:c>
      <x:c r="D335" s="19" t="str">
        <x:v>SB-A</x:v>
      </x:c>
      <x:c r="E335" s="19" t="str">
        <x:v>Hugging Face 本地模型评测</x:v>
      </x:c>
      <x:c r="F335" s="19" t="str">
        <x:v>E AI与数据</x:v>
      </x:c>
    </x:row>
    <x:row r="336">
      <x:c r="A336" s="19" t="str">
        <x:v>DISC-0809-0072</x:v>
      </x:c>
      <x:c r="B336" s="19" t="str">
        <x:v>数据科学与大数据技术</x:v>
      </x:c>
      <x:c r="C336" s="19" t="str">
        <x:v>中</x:v>
      </x:c>
      <x:c r="D336" s="19" t="str">
        <x:v>SB-A</x:v>
      </x:c>
      <x:c r="E336" s="19" t="str">
        <x:v>Hugging Face 本地模型评测</x:v>
      </x:c>
      <x:c r="F336" s="19" t="str">
        <x:v>E AI与数据</x:v>
      </x:c>
    </x:row>
    <x:row r="337">
      <x:c r="A337" s="19" t="str">
        <x:v>DISC-0809-0072</x:v>
      </x:c>
      <x:c r="B337" s="19" t="str">
        <x:v>计算机科学与技术</x:v>
      </x:c>
      <x:c r="C337" s="19" t="str">
        <x:v>中</x:v>
      </x:c>
      <x:c r="D337" s="19" t="str">
        <x:v>SB-A</x:v>
      </x:c>
      <x:c r="E337" s="19" t="str">
        <x:v>Hugging Face 本地模型评测</x:v>
      </x:c>
      <x:c r="F337" s="19" t="str">
        <x:v>E AI与数据</x:v>
      </x:c>
    </x:row>
    <x:row r="338">
      <x:c r="A338" s="19" t="str">
        <x:v>DISC-0809-0072</x:v>
      </x:c>
      <x:c r="B338" s="19" t="str">
        <x:v>空间信息与数字技术</x:v>
      </x:c>
      <x:c r="C338" s="19" t="str">
        <x:v>中</x:v>
      </x:c>
      <x:c r="D338" s="19" t="str">
        <x:v>SB-A</x:v>
      </x:c>
      <x:c r="E338" s="19" t="str">
        <x:v>Hugging Face 本地模型评测</x:v>
      </x:c>
      <x:c r="F338" s="19" t="str">
        <x:v>E AI与数据</x:v>
      </x:c>
    </x:row>
    <x:row r="339">
      <x:c r="A339" s="19" t="str">
        <x:v>DISC-0809-0073</x:v>
      </x:c>
      <x:c r="B339" s="19" t="str">
        <x:v>智能科学与技术</x:v>
      </x:c>
      <x:c r="C339" s="19" t="str">
        <x:v>中</x:v>
      </x:c>
      <x:c r="D339" s="19" t="str">
        <x:v>SB-A</x:v>
      </x:c>
      <x:c r="E339" s="19" t="str">
        <x:v>Hugging Face 本地模型运行</x:v>
      </x:c>
      <x:c r="F339" s="19" t="str">
        <x:v>E AI与数据</x:v>
      </x:c>
    </x:row>
    <x:row r="340">
      <x:c r="A340" s="19" t="str">
        <x:v>DISC-0809-0073</x:v>
      </x:c>
      <x:c r="B340" s="19" t="str">
        <x:v>数据科学与大数据技术</x:v>
      </x:c>
      <x:c r="C340" s="19" t="str">
        <x:v>中</x:v>
      </x:c>
      <x:c r="D340" s="19" t="str">
        <x:v>SB-A</x:v>
      </x:c>
      <x:c r="E340" s="19" t="str">
        <x:v>Hugging Face 本地模型运行</x:v>
      </x:c>
      <x:c r="F340" s="19" t="str">
        <x:v>E AI与数据</x:v>
      </x:c>
    </x:row>
    <x:row r="341">
      <x:c r="A341" s="19" t="str">
        <x:v>DISC-0809-0073</x:v>
      </x:c>
      <x:c r="B341" s="19" t="str">
        <x:v>计算机科学与技术</x:v>
      </x:c>
      <x:c r="C341" s="19" t="str">
        <x:v>中</x:v>
      </x:c>
      <x:c r="D341" s="19" t="str">
        <x:v>SB-A</x:v>
      </x:c>
      <x:c r="E341" s="19" t="str">
        <x:v>Hugging Face 本地模型运行</x:v>
      </x:c>
      <x:c r="F341" s="19" t="str">
        <x:v>E AI与数据</x:v>
      </x:c>
    </x:row>
    <x:row r="342">
      <x:c r="A342" s="19" t="str">
        <x:v>DISC-0809-0073</x:v>
      </x:c>
      <x:c r="B342" s="19" t="str">
        <x:v>空间信息与数字技术</x:v>
      </x:c>
      <x:c r="C342" s="19" t="str">
        <x:v>中</x:v>
      </x:c>
      <x:c r="D342" s="19" t="str">
        <x:v>SB-A</x:v>
      </x:c>
      <x:c r="E342" s="19" t="str">
        <x:v>Hugging Face 本地模型运行</x:v>
      </x:c>
      <x:c r="F342" s="19" t="str">
        <x:v>E AI与数据</x:v>
      </x:c>
    </x:row>
    <x:row r="343">
      <x:c r="A343" s="19" t="str">
        <x:v>DISC-0809-0074</x:v>
      </x:c>
      <x:c r="B343" s="19" t="str">
        <x:v>空间信息与数字技术</x:v>
      </x:c>
      <x:c r="C343" s="19" t="str">
        <x:v>高</x:v>
      </x:c>
      <x:c r="D343" s="19" t="str">
        <x:v>SB-A</x:v>
      </x:c>
      <x:c r="E343" s="19" t="str">
        <x:v>GeoMaster 地理空间计算</x:v>
      </x:c>
      <x:c r="F343" s="19" t="str">
        <x:v>F 空间信息</x:v>
      </x:c>
    </x:row>
    <x:row r="344">
      <x:c r="A344" s="19" t="str">
        <x:v>DISC-0809-0074</x:v>
      </x:c>
      <x:c r="B344" s="19" t="str">
        <x:v>数据科学与大数据技术</x:v>
      </x:c>
      <x:c r="C344" s="19" t="str">
        <x:v>高</x:v>
      </x:c>
      <x:c r="D344" s="19" t="str">
        <x:v>SB-A</x:v>
      </x:c>
      <x:c r="E344" s="19" t="str">
        <x:v>GeoMaster 地理空间计算</x:v>
      </x:c>
      <x:c r="F344" s="19" t="str">
        <x:v>F 空间信息</x:v>
      </x:c>
    </x:row>
    <x:row r="345">
      <x:c r="A345" s="19" t="str">
        <x:v>DISC-0809-0074</x:v>
      </x:c>
      <x:c r="B345" s="19" t="str">
        <x:v>智能科学与技术</x:v>
      </x:c>
      <x:c r="C345" s="19" t="str">
        <x:v>高</x:v>
      </x:c>
      <x:c r="D345" s="19" t="str">
        <x:v>SB-A</x:v>
      </x:c>
      <x:c r="E345" s="19" t="str">
        <x:v>GeoMaster 地理空间计算</x:v>
      </x:c>
      <x:c r="F345" s="19" t="str">
        <x:v>F 空间信息</x:v>
      </x:c>
    </x:row>
    <x:row r="346">
      <x:c r="A346" s="19" t="str">
        <x:v>DISC-0809-0075</x:v>
      </x:c>
      <x:c r="B346" s="19" t="str">
        <x:v>空间信息与数字技术</x:v>
      </x:c>
      <x:c r="C346" s="19" t="str">
        <x:v>高</x:v>
      </x:c>
      <x:c r="D346" s="19" t="str">
        <x:v>SB-A</x:v>
      </x:c>
      <x:c r="E346" s="19" t="str">
        <x:v>GeoPandas 空间数据分析</x:v>
      </x:c>
      <x:c r="F346" s="19" t="str">
        <x:v>F 空间信息</x:v>
      </x:c>
    </x:row>
    <x:row r="347">
      <x:c r="A347" s="19" t="str">
        <x:v>DISC-0809-0075</x:v>
      </x:c>
      <x:c r="B347" s="19" t="str">
        <x:v>数据科学与大数据技术</x:v>
      </x:c>
      <x:c r="C347" s="19" t="str">
        <x:v>高</x:v>
      </x:c>
      <x:c r="D347" s="19" t="str">
        <x:v>SB-A</x:v>
      </x:c>
      <x:c r="E347" s="19" t="str">
        <x:v>GeoPandas 空间数据分析</x:v>
      </x:c>
      <x:c r="F347" s="19" t="str">
        <x:v>F 空间信息</x:v>
      </x:c>
    </x:row>
    <x:row r="348">
      <x:c r="A348" s="19" t="str">
        <x:v>DISC-0809-0075</x:v>
      </x:c>
      <x:c r="B348" s="19" t="str">
        <x:v>智能科学与技术</x:v>
      </x:c>
      <x:c r="C348" s="19" t="str">
        <x:v>高</x:v>
      </x:c>
      <x:c r="D348" s="19" t="str">
        <x:v>SB-A</x:v>
      </x:c>
      <x:c r="E348" s="19" t="str">
        <x:v>GeoPandas 空间数据分析</x:v>
      </x:c>
      <x:c r="F348" s="19" t="str">
        <x:v>F 空间信息</x:v>
      </x:c>
    </x:row>
    <x:row r="349">
      <x:c r="A349" s="19" t="str">
        <x:v>DISC-0809-0076</x:v>
      </x:c>
      <x:c r="B349" s="19" t="str">
        <x:v>数字媒体技术</x:v>
      </x:c>
      <x:c r="C349" s="19" t="str">
        <x:v>高</x:v>
      </x:c>
      <x:c r="D349" s="19" t="str">
        <x:v>SB</x:v>
      </x:c>
      <x:c r="E349" s="19" t="str">
        <x:v>前端 UI 工程</x:v>
      </x:c>
      <x:c r="F349" s="19" t="str">
        <x:v>G 数字媒体</x:v>
      </x:c>
    </x:row>
    <x:row r="350">
      <x:c r="A350" s="19" t="str">
        <x:v>DISC-0809-0076</x:v>
      </x:c>
      <x:c r="B350" s="19" t="str">
        <x:v>新媒体技术</x:v>
      </x:c>
      <x:c r="C350" s="19" t="str">
        <x:v>高</x:v>
      </x:c>
      <x:c r="D350" s="19" t="str">
        <x:v>SB</x:v>
      </x:c>
      <x:c r="E350" s="19" t="str">
        <x:v>前端 UI 工程</x:v>
      </x:c>
      <x:c r="F350" s="19" t="str">
        <x:v>G 数字媒体</x:v>
      </x:c>
    </x:row>
    <x:row r="351">
      <x:c r="A351" s="19" t="str">
        <x:v>DISC-0809-0076</x:v>
      </x:c>
      <x:c r="B351" s="19" t="str">
        <x:v>电影制作</x:v>
      </x:c>
      <x:c r="C351" s="19" t="str">
        <x:v>高</x:v>
      </x:c>
      <x:c r="D351" s="19" t="str">
        <x:v>SB</x:v>
      </x:c>
      <x:c r="E351" s="19" t="str">
        <x:v>前端 UI 工程</x:v>
      </x:c>
      <x:c r="F351" s="19" t="str">
        <x:v>G 数字媒体</x:v>
      </x:c>
    </x:row>
    <x:row r="352">
      <x:c r="A352" s="19" t="str">
        <x:v>DISC-0809-0076</x:v>
      </x:c>
      <x:c r="B352" s="19" t="str">
        <x:v>计算机科学与技术</x:v>
      </x:c>
      <x:c r="C352" s="19" t="str">
        <x:v>高</x:v>
      </x:c>
      <x:c r="D352" s="19" t="str">
        <x:v>SB</x:v>
      </x:c>
      <x:c r="E352" s="19" t="str">
        <x:v>前端 UI 工程</x:v>
      </x:c>
      <x:c r="F352" s="19" t="str">
        <x:v>G 数字媒体</x:v>
      </x:c>
    </x:row>
    <x:row r="353">
      <x:c r="A353" s="19" t="str">
        <x:v>DISC-0809-0077</x:v>
      </x:c>
      <x:c r="B353" s="19" t="str">
        <x:v>数字媒体技术</x:v>
      </x:c>
      <x:c r="C353" s="19" t="str">
        <x:v>中</x:v>
      </x:c>
      <x:c r="D353" s="19" t="str">
        <x:v>SB-A</x:v>
      </x:c>
      <x:c r="E353" s="19" t="str">
        <x:v>算法艺术</x:v>
      </x:c>
      <x:c r="F353" s="19" t="str">
        <x:v>G 数字媒体</x:v>
      </x:c>
    </x:row>
    <x:row r="354">
      <x:c r="A354" s="19" t="str">
        <x:v>DISC-0809-0077</x:v>
      </x:c>
      <x:c r="B354" s="19" t="str">
        <x:v>新媒体技术</x:v>
      </x:c>
      <x:c r="C354" s="19" t="str">
        <x:v>中</x:v>
      </x:c>
      <x:c r="D354" s="19" t="str">
        <x:v>SB-A</x:v>
      </x:c>
      <x:c r="E354" s="19" t="str">
        <x:v>算法艺术</x:v>
      </x:c>
      <x:c r="F354" s="19" t="str">
        <x:v>G 数字媒体</x:v>
      </x:c>
    </x:row>
    <x:row r="355">
      <x:c r="A355" s="19" t="str">
        <x:v>DISC-0809-0077</x:v>
      </x:c>
      <x:c r="B355" s="19" t="str">
        <x:v>电影制作</x:v>
      </x:c>
      <x:c r="C355" s="19" t="str">
        <x:v>中</x:v>
      </x:c>
      <x:c r="D355" s="19" t="str">
        <x:v>SB-A</x:v>
      </x:c>
      <x:c r="E355" s="19" t="str">
        <x:v>算法艺术</x:v>
      </x:c>
      <x:c r="F355" s="19" t="str">
        <x:v>G 数字媒体</x:v>
      </x:c>
    </x:row>
    <x:row r="356">
      <x:c r="A356" s="19" t="str">
        <x:v>DISC-0809-0077</x:v>
      </x:c>
      <x:c r="B356" s="19" t="str">
        <x:v>计算机科学与技术</x:v>
      </x:c>
      <x:c r="C356" s="19" t="str">
        <x:v>中</x:v>
      </x:c>
      <x:c r="D356" s="19" t="str">
        <x:v>SB-A</x:v>
      </x:c>
      <x:c r="E356" s="19" t="str">
        <x:v>算法艺术</x:v>
      </x:c>
      <x:c r="F356" s="19" t="str">
        <x:v>G 数字媒体</x:v>
      </x:c>
    </x:row>
    <x:row r="357">
      <x:c r="A357" s="19" t="str">
        <x:v>DISC-0809-0078</x:v>
      </x:c>
      <x:c r="B357" s="19" t="str">
        <x:v>数字媒体技术</x:v>
      </x:c>
      <x:c r="C357" s="19" t="str">
        <x:v>中</x:v>
      </x:c>
      <x:c r="D357" s="19" t="str">
        <x:v>SA</x:v>
      </x:c>
      <x:c r="E357" s="19" t="str">
        <x:v>静态视觉设计</x:v>
      </x:c>
      <x:c r="F357" s="19" t="str">
        <x:v>G 数字媒体</x:v>
      </x:c>
    </x:row>
    <x:row r="358">
      <x:c r="A358" s="19" t="str">
        <x:v>DISC-0809-0078</x:v>
      </x:c>
      <x:c r="B358" s="19" t="str">
        <x:v>新媒体技术</x:v>
      </x:c>
      <x:c r="C358" s="19" t="str">
        <x:v>中</x:v>
      </x:c>
      <x:c r="D358" s="19" t="str">
        <x:v>SA</x:v>
      </x:c>
      <x:c r="E358" s="19" t="str">
        <x:v>静态视觉设计</x:v>
      </x:c>
      <x:c r="F358" s="19" t="str">
        <x:v>G 数字媒体</x:v>
      </x:c>
    </x:row>
    <x:row r="359">
      <x:c r="A359" s="19" t="str">
        <x:v>DISC-0809-0078</x:v>
      </x:c>
      <x:c r="B359" s="19" t="str">
        <x:v>电影制作</x:v>
      </x:c>
      <x:c r="C359" s="19" t="str">
        <x:v>中</x:v>
      </x:c>
      <x:c r="D359" s="19" t="str">
        <x:v>SA</x:v>
      </x:c>
      <x:c r="E359" s="19" t="str">
        <x:v>静态视觉设计</x:v>
      </x:c>
      <x:c r="F359" s="19" t="str">
        <x:v>G 数字媒体</x:v>
      </x:c>
    </x:row>
    <x:row r="360">
      <x:c r="A360" s="19" t="str">
        <x:v>DISC-0809-0078</x:v>
      </x:c>
      <x:c r="B360" s="19" t="str">
        <x:v>计算机科学与技术</x:v>
      </x:c>
      <x:c r="C360" s="19" t="str">
        <x:v>中</x:v>
      </x:c>
      <x:c r="D360" s="19" t="str">
        <x:v>SA</x:v>
      </x:c>
      <x:c r="E360" s="19" t="str">
        <x:v>静态视觉设计</x:v>
      </x:c>
      <x:c r="F360" s="19" t="str">
        <x:v>G 数字媒体</x:v>
      </x:c>
    </x:row>
    <x:row r="361">
      <x:c r="A361" s="19" t="str">
        <x:v>DISC-0809-0079</x:v>
      </x:c>
      <x:c r="B361" s="19" t="str">
        <x:v>数字媒体技术</x:v>
      </x:c>
      <x:c r="C361" s="19" t="str">
        <x:v>中</x:v>
      </x:c>
      <x:c r="D361" s="19" t="str">
        <x:v>SA</x:v>
      </x:c>
      <x:c r="E361" s="19" t="str">
        <x:v>前端视觉设计</x:v>
      </x:c>
      <x:c r="F361" s="19" t="str">
        <x:v>G 数字媒体</x:v>
      </x:c>
    </x:row>
    <x:row r="362">
      <x:c r="A362" s="19" t="str">
        <x:v>DISC-0809-0079</x:v>
      </x:c>
      <x:c r="B362" s="19" t="str">
        <x:v>新媒体技术</x:v>
      </x:c>
      <x:c r="C362" s="19" t="str">
        <x:v>中</x:v>
      </x:c>
      <x:c r="D362" s="19" t="str">
        <x:v>SA</x:v>
      </x:c>
      <x:c r="E362" s="19" t="str">
        <x:v>前端视觉设计</x:v>
      </x:c>
      <x:c r="F362" s="19" t="str">
        <x:v>G 数字媒体</x:v>
      </x:c>
    </x:row>
    <x:row r="363">
      <x:c r="A363" s="19" t="str">
        <x:v>DISC-0809-0079</x:v>
      </x:c>
      <x:c r="B363" s="19" t="str">
        <x:v>电影制作</x:v>
      </x:c>
      <x:c r="C363" s="19" t="str">
        <x:v>中</x:v>
      </x:c>
      <x:c r="D363" s="19" t="str">
        <x:v>SA</x:v>
      </x:c>
      <x:c r="E363" s="19" t="str">
        <x:v>前端视觉设计</x:v>
      </x:c>
      <x:c r="F363" s="19" t="str">
        <x:v>G 数字媒体</x:v>
      </x:c>
    </x:row>
    <x:row r="364">
      <x:c r="A364" s="19" t="str">
        <x:v>DISC-0809-0079</x:v>
      </x:c>
      <x:c r="B364" s="19" t="str">
        <x:v>计算机科学与技术</x:v>
      </x:c>
      <x:c r="C364" s="19" t="str">
        <x:v>中</x:v>
      </x:c>
      <x:c r="D364" s="19" t="str">
        <x:v>SA</x:v>
      </x:c>
      <x:c r="E364" s="19" t="str">
        <x:v>前端视觉设计</x:v>
      </x:c>
      <x:c r="F364" s="19" t="str">
        <x:v>G 数字媒体</x:v>
      </x:c>
    </x:row>
    <x:row r="365">
      <x:c r="A365" s="19" t="str">
        <x:v>DISC-0809-0080</x:v>
      </x:c>
      <x:c r="B365" s="19" t="str">
        <x:v>数字媒体技术</x:v>
      </x:c>
      <x:c r="C365" s="19" t="str">
        <x:v>中</x:v>
      </x:c>
      <x:c r="D365" s="19" t="str">
        <x:v>SA</x:v>
      </x:c>
      <x:c r="E365" s="19" t="str">
        <x:v>AR/VR/XR 开发</x:v>
      </x:c>
      <x:c r="F365" s="19" t="str">
        <x:v>G 数字媒体</x:v>
      </x:c>
    </x:row>
    <x:row r="366">
      <x:c r="A366" s="19" t="str">
        <x:v>DISC-0809-0080</x:v>
      </x:c>
      <x:c r="B366" s="19" t="str">
        <x:v>新媒体技术</x:v>
      </x:c>
      <x:c r="C366" s="19" t="str">
        <x:v>中</x:v>
      </x:c>
      <x:c r="D366" s="19" t="str">
        <x:v>SA</x:v>
      </x:c>
      <x:c r="E366" s="19" t="str">
        <x:v>AR/VR/XR 开发</x:v>
      </x:c>
      <x:c r="F366" s="19" t="str">
        <x:v>G 数字媒体</x:v>
      </x:c>
    </x:row>
    <x:row r="367">
      <x:c r="A367" s="19" t="str">
        <x:v>DISC-0809-0080</x:v>
      </x:c>
      <x:c r="B367" s="19" t="str">
        <x:v>电影制作</x:v>
      </x:c>
      <x:c r="C367" s="19" t="str">
        <x:v>中</x:v>
      </x:c>
      <x:c r="D367" s="19" t="str">
        <x:v>SA</x:v>
      </x:c>
      <x:c r="E367" s="19" t="str">
        <x:v>AR/VR/XR 开发</x:v>
      </x:c>
      <x:c r="F367" s="19" t="str">
        <x:v>G 数字媒体</x:v>
      </x:c>
    </x:row>
    <x:row r="368">
      <x:c r="A368" s="19" t="str">
        <x:v>DISC-0809-0080</x:v>
      </x:c>
      <x:c r="B368" s="19" t="str">
        <x:v>计算机科学与技术</x:v>
      </x:c>
      <x:c r="C368" s="19" t="str">
        <x:v>中</x:v>
      </x:c>
      <x:c r="D368" s="19" t="str">
        <x:v>SA</x:v>
      </x:c>
      <x:c r="E368" s="19" t="str">
        <x:v>AR/VR/XR 开发</x:v>
      </x:c>
      <x:c r="F368" s="19" t="str">
        <x:v>G 数字媒体</x:v>
      </x:c>
    </x:row>
    <x:row r="369">
      <x:c r="A369" s="19" t="str">
        <x:v>DISC-0809-0081</x:v>
      </x:c>
      <x:c r="B369" s="19" t="str">
        <x:v>数字媒体技术</x:v>
      </x:c>
      <x:c r="C369" s="19" t="str">
        <x:v>中</x:v>
      </x:c>
      <x:c r="D369" s="19" t="str">
        <x:v>SA</x:v>
      </x:c>
      <x:c r="E369" s="19" t="str">
        <x:v>音频制作</x:v>
      </x:c>
      <x:c r="F369" s="19" t="str">
        <x:v>G 数字媒体</x:v>
      </x:c>
    </x:row>
    <x:row r="370">
      <x:c r="A370" s="19" t="str">
        <x:v>DISC-0809-0081</x:v>
      </x:c>
      <x:c r="B370" s="19" t="str">
        <x:v>新媒体技术</x:v>
      </x:c>
      <x:c r="C370" s="19" t="str">
        <x:v>中</x:v>
      </x:c>
      <x:c r="D370" s="19" t="str">
        <x:v>SA</x:v>
      </x:c>
      <x:c r="E370" s="19" t="str">
        <x:v>音频制作</x:v>
      </x:c>
      <x:c r="F370" s="19" t="str">
        <x:v>G 数字媒体</x:v>
      </x:c>
    </x:row>
    <x:row r="371">
      <x:c r="A371" s="19" t="str">
        <x:v>DISC-0809-0081</x:v>
      </x:c>
      <x:c r="B371" s="19" t="str">
        <x:v>电影制作</x:v>
      </x:c>
      <x:c r="C371" s="19" t="str">
        <x:v>中</x:v>
      </x:c>
      <x:c r="D371" s="19" t="str">
        <x:v>SA</x:v>
      </x:c>
      <x:c r="E371" s="19" t="str">
        <x:v>音频制作</x:v>
      </x:c>
      <x:c r="F371" s="19" t="str">
        <x:v>G 数字媒体</x:v>
      </x:c>
    </x:row>
    <x:row r="372">
      <x:c r="A372" s="19" t="str">
        <x:v>DISC-0809-0081</x:v>
      </x:c>
      <x:c r="B372" s="19" t="str">
        <x:v>计算机科学与技术</x:v>
      </x:c>
      <x:c r="C372" s="19" t="str">
        <x:v>中</x:v>
      </x:c>
      <x:c r="D372" s="19" t="str">
        <x:v>SA</x:v>
      </x:c>
      <x:c r="E372" s="19" t="str">
        <x:v>音频制作</x:v>
      </x:c>
      <x:c r="F372" s="19" t="str">
        <x:v>G 数字媒体</x:v>
      </x:c>
    </x:row>
    <x:row r="373">
      <x:c r="A373" s="19" t="str">
        <x:v>DISC-0809-0082</x:v>
      </x:c>
      <x:c r="B373" s="19" t="str">
        <x:v>数字媒体技术</x:v>
      </x:c>
      <x:c r="C373" s="19" t="str">
        <x:v>中</x:v>
      </x:c>
      <x:c r="D373" s="19" t="str">
        <x:v>SB</x:v>
      </x:c>
      <x:c r="E373" s="19" t="str">
        <x:v>游戏开发</x:v>
      </x:c>
      <x:c r="F373" s="19" t="str">
        <x:v>G 数字媒体</x:v>
      </x:c>
    </x:row>
    <x:row r="374">
      <x:c r="A374" s="19" t="str">
        <x:v>DISC-0809-0082</x:v>
      </x:c>
      <x:c r="B374" s="19" t="str">
        <x:v>新媒体技术</x:v>
      </x:c>
      <x:c r="C374" s="19" t="str">
        <x:v>中</x:v>
      </x:c>
      <x:c r="D374" s="19" t="str">
        <x:v>SB</x:v>
      </x:c>
      <x:c r="E374" s="19" t="str">
        <x:v>游戏开发</x:v>
      </x:c>
      <x:c r="F374" s="19" t="str">
        <x:v>G 数字媒体</x:v>
      </x:c>
    </x:row>
    <x:row r="375">
      <x:c r="A375" s="19" t="str">
        <x:v>DISC-0809-0082</x:v>
      </x:c>
      <x:c r="B375" s="19" t="str">
        <x:v>电影制作</x:v>
      </x:c>
      <x:c r="C375" s="19" t="str">
        <x:v>中</x:v>
      </x:c>
      <x:c r="D375" s="19" t="str">
        <x:v>SB</x:v>
      </x:c>
      <x:c r="E375" s="19" t="str">
        <x:v>游戏开发</x:v>
      </x:c>
      <x:c r="F375" s="19" t="str">
        <x:v>G 数字媒体</x:v>
      </x:c>
    </x:row>
    <x:row r="376">
      <x:c r="A376" s="19" t="str">
        <x:v>DISC-0809-0082</x:v>
      </x:c>
      <x:c r="B376" s="19" t="str">
        <x:v>计算机科学与技术</x:v>
      </x:c>
      <x:c r="C376" s="19" t="str">
        <x:v>中</x:v>
      </x:c>
      <x:c r="D376" s="19" t="str">
        <x:v>SB</x:v>
      </x:c>
      <x:c r="E376" s="19" t="str">
        <x:v>游戏开发</x:v>
      </x:c>
      <x:c r="F376" s="19" t="str">
        <x:v>G 数字媒体</x:v>
      </x:c>
    </x:row>
    <x:row r="377">
      <x:c r="A377" s="19" t="str">
        <x:v>DISC-0809-0083</x:v>
      </x:c>
      <x:c r="B377" s="19" t="str">
        <x:v>数字媒体技术</x:v>
      </x:c>
      <x:c r="C377" s="19" t="str">
        <x:v>高</x:v>
      </x:c>
      <x:c r="D377" s="19" t="str">
        <x:v>SA</x:v>
      </x:c>
      <x:c r="E377" s="19" t="str">
        <x:v>视频制作</x:v>
      </x:c>
      <x:c r="F377" s="19" t="str">
        <x:v>G 数字媒体</x:v>
      </x:c>
    </x:row>
    <x:row r="378">
      <x:c r="A378" s="19" t="str">
        <x:v>DISC-0809-0083</x:v>
      </x:c>
      <x:c r="B378" s="19" t="str">
        <x:v>新媒体技术</x:v>
      </x:c>
      <x:c r="C378" s="19" t="str">
        <x:v>高</x:v>
      </x:c>
      <x:c r="D378" s="19" t="str">
        <x:v>SA</x:v>
      </x:c>
      <x:c r="E378" s="19" t="str">
        <x:v>视频制作</x:v>
      </x:c>
      <x:c r="F378" s="19" t="str">
        <x:v>G 数字媒体</x:v>
      </x:c>
    </x:row>
    <x:row r="379">
      <x:c r="A379" s="19" t="str">
        <x:v>DISC-0809-0083</x:v>
      </x:c>
      <x:c r="B379" s="19" t="str">
        <x:v>电影制作</x:v>
      </x:c>
      <x:c r="C379" s="19" t="str">
        <x:v>高</x:v>
      </x:c>
      <x:c r="D379" s="19" t="str">
        <x:v>SA</x:v>
      </x:c>
      <x:c r="E379" s="19" t="str">
        <x:v>视频制作</x:v>
      </x:c>
      <x:c r="F379" s="19" t="str">
        <x:v>G 数字媒体</x:v>
      </x:c>
    </x:row>
    <x:row r="380">
      <x:c r="A380" s="19" t="str">
        <x:v>DISC-0809-0083</x:v>
      </x:c>
      <x:c r="B380" s="19" t="str">
        <x:v>计算机科学与技术</x:v>
      </x:c>
      <x:c r="C380" s="19" t="str">
        <x:v>高</x:v>
      </x:c>
      <x:c r="D380" s="19" t="str">
        <x:v>SA</x:v>
      </x:c>
      <x:c r="E380" s="19" t="str">
        <x:v>视频制作</x:v>
      </x:c>
      <x:c r="F380" s="19" t="str">
        <x:v>G 数字媒体</x:v>
      </x:c>
    </x:row>
    <x:row r="381">
      <x:c r="A381" s="19" t="str">
        <x:v>DISC-0809-0084</x:v>
      </x:c>
      <x:c r="B381" s="19" t="str">
        <x:v>数字媒体技术</x:v>
      </x:c>
      <x:c r="C381" s="19" t="str">
        <x:v>中</x:v>
      </x:c>
      <x:c r="D381" s="19" t="str">
        <x:v>SA</x:v>
      </x:c>
      <x:c r="E381" s="19" t="str">
        <x:v>WCAG 可访问性审计</x:v>
      </x:c>
      <x:c r="F381" s="19" t="str">
        <x:v>G 数字媒体</x:v>
      </x:c>
    </x:row>
    <x:row r="382">
      <x:c r="A382" s="19" t="str">
        <x:v>DISC-0809-0084</x:v>
      </x:c>
      <x:c r="B382" s="19" t="str">
        <x:v>新媒体技术</x:v>
      </x:c>
      <x:c r="C382" s="19" t="str">
        <x:v>中</x:v>
      </x:c>
      <x:c r="D382" s="19" t="str">
        <x:v>SA</x:v>
      </x:c>
      <x:c r="E382" s="19" t="str">
        <x:v>WCAG 可访问性审计</x:v>
      </x:c>
      <x:c r="F382" s="19" t="str">
        <x:v>G 数字媒体</x:v>
      </x:c>
    </x:row>
    <x:row r="383">
      <x:c r="A383" s="19" t="str">
        <x:v>DISC-0809-0084</x:v>
      </x:c>
      <x:c r="B383" s="19" t="str">
        <x:v>电影制作</x:v>
      </x:c>
      <x:c r="C383" s="19" t="str">
        <x:v>中</x:v>
      </x:c>
      <x:c r="D383" s="19" t="str">
        <x:v>SA</x:v>
      </x:c>
      <x:c r="E383" s="19" t="str">
        <x:v>WCAG 可访问性审计</x:v>
      </x:c>
      <x:c r="F383" s="19" t="str">
        <x:v>G 数字媒体</x:v>
      </x:c>
    </x:row>
    <x:row r="384">
      <x:c r="A384" s="19" t="str">
        <x:v>DISC-0809-0084</x:v>
      </x:c>
      <x:c r="B384" s="19" t="str">
        <x:v>计算机科学与技术</x:v>
      </x:c>
      <x:c r="C384" s="19" t="str">
        <x:v>中</x:v>
      </x:c>
      <x:c r="D384" s="19" t="str">
        <x:v>SA</x:v>
      </x:c>
      <x:c r="E384" s="19" t="str">
        <x:v>WCAG 可访问性审计</x:v>
      </x:c>
      <x:c r="F384" s="19" t="str">
        <x:v>G 数字媒体</x:v>
      </x:c>
    </x:row>
    <x:row r="385">
      <x:c r="A385" s="19" t="str">
        <x:v>DISC-0809-0085</x:v>
      </x:c>
      <x:c r="B385" s="19" t="str">
        <x:v>数字媒体技术</x:v>
      </x:c>
      <x:c r="C385" s="19" t="str">
        <x:v>中</x:v>
      </x:c>
      <x:c r="D385" s="19" t="str">
        <x:v>SB</x:v>
      </x:c>
      <x:c r="E385" s="19" t="str">
        <x:v>Gradio 交互应用</x:v>
      </x:c>
      <x:c r="F385" s="19" t="str">
        <x:v>G 数字媒体</x:v>
      </x:c>
    </x:row>
    <x:row r="386">
      <x:c r="A386" s="19" t="str">
        <x:v>DISC-0809-0085</x:v>
      </x:c>
      <x:c r="B386" s="19" t="str">
        <x:v>新媒体技术</x:v>
      </x:c>
      <x:c r="C386" s="19" t="str">
        <x:v>中</x:v>
      </x:c>
      <x:c r="D386" s="19" t="str">
        <x:v>SB</x:v>
      </x:c>
      <x:c r="E386" s="19" t="str">
        <x:v>Gradio 交互应用</x:v>
      </x:c>
      <x:c r="F386" s="19" t="str">
        <x:v>G 数字媒体</x:v>
      </x:c>
    </x:row>
    <x:row r="387">
      <x:c r="A387" s="19" t="str">
        <x:v>DISC-0809-0085</x:v>
      </x:c>
      <x:c r="B387" s="19" t="str">
        <x:v>电影制作</x:v>
      </x:c>
      <x:c r="C387" s="19" t="str">
        <x:v>中</x:v>
      </x:c>
      <x:c r="D387" s="19" t="str">
        <x:v>SB</x:v>
      </x:c>
      <x:c r="E387" s="19" t="str">
        <x:v>Gradio 交互应用</x:v>
      </x:c>
      <x:c r="F387" s="19" t="str">
        <x:v>G 数字媒体</x:v>
      </x:c>
    </x:row>
    <x:row r="388">
      <x:c r="A388" s="19" t="str">
        <x:v>DISC-0809-0085</x:v>
      </x:c>
      <x:c r="B388" s="19" t="str">
        <x:v>计算机科学与技术</x:v>
      </x:c>
      <x:c r="C388" s="19" t="str">
        <x:v>中</x:v>
      </x:c>
      <x:c r="D388" s="19" t="str">
        <x:v>SB</x:v>
      </x:c>
      <x:c r="E388" s="19" t="str">
        <x:v>Gradio 交互应用</x:v>
      </x:c>
      <x:c r="F388" s="19" t="str">
        <x:v>G 数字媒体</x:v>
      </x:c>
    </x:row>
    <x:row r="389">
      <x:c r="A389" s="19" t="str">
        <x:v>DISC-0809-0086</x:v>
      </x:c>
      <x:c r="B389" s="19" t="str">
        <x:v>信息安全</x:v>
      </x:c>
      <x:c r="C389" s="19" t="str">
        <x:v>高</x:v>
      </x:c>
      <x:c r="D389" s="19" t="str">
        <x:v>SB</x:v>
      </x:c>
      <x:c r="E389" s="19" t="str">
        <x:v>合规工程</x:v>
      </x:c>
      <x:c r="F389" s="19" t="str">
        <x:v>H 保密治理</x:v>
      </x:c>
    </x:row>
    <x:row r="390">
      <x:c r="A390" s="19" t="str">
        <x:v>DISC-0809-0086</x:v>
      </x:c>
      <x:c r="B390" s="19" t="str">
        <x:v>网络空间安全</x:v>
      </x:c>
      <x:c r="C390" s="19" t="str">
        <x:v>高</x:v>
      </x:c>
      <x:c r="D390" s="19" t="str">
        <x:v>SB</x:v>
      </x:c>
      <x:c r="E390" s="19" t="str">
        <x:v>合规工程</x:v>
      </x:c>
      <x:c r="F390" s="19" t="str">
        <x:v>H 保密治理</x:v>
      </x:c>
    </x:row>
    <x:row r="391">
      <x:c r="A391" s="19" t="str">
        <x:v>DISC-0809-0086</x:v>
      </x:c>
      <x:c r="B391" s="19" t="str">
        <x:v>保密管理</x:v>
      </x:c>
      <x:c r="C391" s="19" t="str">
        <x:v>高</x:v>
      </x:c>
      <x:c r="D391" s="19" t="str">
        <x:v>SB</x:v>
      </x:c>
      <x:c r="E391" s="19" t="str">
        <x:v>合规工程</x:v>
      </x:c>
      <x:c r="F391" s="19" t="str">
        <x:v>H 保密治理</x:v>
      </x:c>
    </x:row>
    <x:row r="392">
      <x:c r="A392" s="19" t="str">
        <x:v>DISC-0809-0086</x:v>
      </x:c>
      <x:c r="B392" s="19" t="str">
        <x:v>软件工程</x:v>
      </x:c>
      <x:c r="C392" s="19" t="str">
        <x:v>高</x:v>
      </x:c>
      <x:c r="D392" s="19" t="str">
        <x:v>SB</x:v>
      </x:c>
      <x:c r="E392" s="19" t="str">
        <x:v>合规工程</x:v>
      </x:c>
      <x:c r="F392" s="19" t="str">
        <x:v>H 保密治理</x:v>
      </x:c>
    </x:row>
    <x:row r="393">
      <x:c r="A393" s="19" t="str">
        <x:v>DISC-0809-0087</x:v>
      </x:c>
      <x:c r="B393" s="19" t="str">
        <x:v>信息安全</x:v>
      </x:c>
      <x:c r="C393" s="19" t="str">
        <x:v>高</x:v>
      </x:c>
      <x:c r="D393" s="19" t="str">
        <x:v>SB</x:v>
      </x:c>
      <x:c r="E393" s="19" t="str">
        <x:v>GDPR 数据处理</x:v>
      </x:c>
      <x:c r="F393" s="19" t="str">
        <x:v>H 保密治理</x:v>
      </x:c>
    </x:row>
    <x:row r="394">
      <x:c r="A394" s="19" t="str">
        <x:v>DISC-0809-0087</x:v>
      </x:c>
      <x:c r="B394" s="19" t="str">
        <x:v>网络空间安全</x:v>
      </x:c>
      <x:c r="C394" s="19" t="str">
        <x:v>高</x:v>
      </x:c>
      <x:c r="D394" s="19" t="str">
        <x:v>SB</x:v>
      </x:c>
      <x:c r="E394" s="19" t="str">
        <x:v>GDPR 数据处理</x:v>
      </x:c>
      <x:c r="F394" s="19" t="str">
        <x:v>H 保密治理</x:v>
      </x:c>
    </x:row>
    <x:row r="395">
      <x:c r="A395" s="19" t="str">
        <x:v>DISC-0809-0087</x:v>
      </x:c>
      <x:c r="B395" s="19" t="str">
        <x:v>保密管理</x:v>
      </x:c>
      <x:c r="C395" s="19" t="str">
        <x:v>高</x:v>
      </x:c>
      <x:c r="D395" s="19" t="str">
        <x:v>SB</x:v>
      </x:c>
      <x:c r="E395" s="19" t="str">
        <x:v>GDPR 数据处理</x:v>
      </x:c>
      <x:c r="F395" s="19" t="str">
        <x:v>H 保密治理</x:v>
      </x:c>
    </x:row>
    <x:row r="396">
      <x:c r="A396" s="19" t="str">
        <x:v>DISC-0809-0087</x:v>
      </x:c>
      <x:c r="B396" s="19" t="str">
        <x:v>软件工程</x:v>
      </x:c>
      <x:c r="C396" s="19" t="str">
        <x:v>高</x:v>
      </x:c>
      <x:c r="D396" s="19" t="str">
        <x:v>SB</x:v>
      </x:c>
      <x:c r="E396" s="19" t="str">
        <x:v>GDPR 数据处理</x:v>
      </x:c>
      <x:c r="F396" s="19" t="str">
        <x:v>H 保密治理</x:v>
      </x:c>
    </x:row>
    <x:row r="397">
      <x:c r="A397" s="19" t="str">
        <x:v>DISC-0809-0088</x:v>
      </x:c>
      <x:c r="B397" s="19" t="str">
        <x:v>信息安全</x:v>
      </x:c>
      <x:c r="C397" s="19" t="str">
        <x:v>高</x:v>
      </x:c>
      <x:c r="D397" s="19" t="str">
        <x:v>SB-A</x:v>
      </x:c>
      <x:c r="E397" s="19" t="str">
        <x:v>秘密管理</x:v>
      </x:c>
      <x:c r="F397" s="19" t="str">
        <x:v>H 保密治理</x:v>
      </x:c>
    </x:row>
    <x:row r="398">
      <x:c r="A398" s="19" t="str">
        <x:v>DISC-0809-0088</x:v>
      </x:c>
      <x:c r="B398" s="19" t="str">
        <x:v>网络空间安全</x:v>
      </x:c>
      <x:c r="C398" s="19" t="str">
        <x:v>高</x:v>
      </x:c>
      <x:c r="D398" s="19" t="str">
        <x:v>SB-A</x:v>
      </x:c>
      <x:c r="E398" s="19" t="str">
        <x:v>秘密管理</x:v>
      </x:c>
      <x:c r="F398" s="19" t="str">
        <x:v>H 保密治理</x:v>
      </x:c>
    </x:row>
    <x:row r="399">
      <x:c r="A399" s="19" t="str">
        <x:v>DISC-0809-0088</x:v>
      </x:c>
      <x:c r="B399" s="19" t="str">
        <x:v>保密管理</x:v>
      </x:c>
      <x:c r="C399" s="19" t="str">
        <x:v>高</x:v>
      </x:c>
      <x:c r="D399" s="19" t="str">
        <x:v>SB-A</x:v>
      </x:c>
      <x:c r="E399" s="19" t="str">
        <x:v>秘密管理</x:v>
      </x:c>
      <x:c r="F399" s="19" t="str">
        <x:v>H 保密治理</x:v>
      </x:c>
    </x:row>
    <x:row r="400">
      <x:c r="A400" s="19" t="str">
        <x:v>DISC-0809-0088</x:v>
      </x:c>
      <x:c r="B400" s="19" t="str">
        <x:v>软件工程</x:v>
      </x:c>
      <x:c r="C400" s="19" t="str">
        <x:v>高</x:v>
      </x:c>
      <x:c r="D400" s="19" t="str">
        <x:v>SB-A</x:v>
      </x:c>
      <x:c r="E400" s="19" t="str">
        <x:v>秘密管理</x:v>
      </x:c>
      <x:c r="F400" s="19" t="str">
        <x:v>H 保密治理</x:v>
      </x:c>
    </x:row>
  </x:sheetData>
  <x:mergeCells>
    <x:mergeCell ref="A1:F1"/>
    <x:mergeCell ref="A2:F2"/>
  </x:mergeCells>
  <x:conditionalFormatting sqref="D5:D400">
    <x:cfRule type="cellIs" dxfId="4" priority="1" operator="equal">
      <x:formula>"SA"</x:formula>
    </x:cfRule>
    <x:cfRule type="cellIs" dxfId="5" priority="2" operator="equal">
      <x:formula>"SB"</x:formula>
    </x:cfRule>
    <x:cfRule type="cellIs" dxfId="6" priority="3" operator="equal">
      <x:formula>"SB-A"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2c71e89e3540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8" hidden="0" customWidth="1"/>
    <x:col min="3" max="3" width="54" hidden="0" customWidth="1"/>
    <x:col min="4" max="4" width="18" hidden="0" customWidth="1"/>
    <x:col min="5" max="5" width="42" hidden="0" customWidth="1"/>
    <x:col min="6" max="6" width="15" hidden="0" customWidth="1"/>
    <x:col min="7" max="7" width="16" hidden="0" customWidth="1"/>
  </x:cols>
  <x:sheetData>
    <x:row r="1">
      <x:c r="A1" s="2" t="str">
        <x:v>0809 计算机类｜正式来源仓库</x:v>
      </x:c>
      <x:c r="B1" s="2"/>
      <x:c r="C1" s="2"/>
      <x:c r="D1" s="2"/>
      <x:c r="E1" s="2"/>
      <x:c r="F1" s="2"/>
      <x:c r="G1" s="2"/>
    </x:row>
    <x:row r="2">
      <x:c r="A2" s="5" t="str">
        <x:v>仓库按审查提交固定；同一仓库可能贡献多个 Skill。许可证以对应提交与具体目录为准。</x:v>
      </x:c>
      <x:c r="B2" s="5"/>
      <x:c r="C2" s="5"/>
      <x:c r="D2" s="5"/>
      <x:c r="E2" s="5"/>
      <x:c r="F2" s="5"/>
      <x:c r="G2" s="5"/>
    </x:row>
    <x:row r="4">
      <x:c r="A4" s="33" t="str">
        <x:v>平台</x:v>
      </x:c>
      <x:c r="B4" s="33" t="str">
        <x:v>仓库</x:v>
      </x:c>
      <x:c r="C4" s="33" t="str">
        <x:v>仓库地址</x:v>
      </x:c>
      <x:c r="D4" s="33" t="str">
        <x:v>许可证</x:v>
      </x:c>
      <x:c r="E4" s="33" t="str">
        <x:v>审查提交</x:v>
      </x:c>
      <x:c r="F4" s="33" t="str">
        <x:v>提交日期</x:v>
      </x:c>
      <x:c r="G4" s="33" t="str">
        <x:v>正式候选数</x:v>
      </x:c>
    </x:row>
    <x:row r="5">
      <x:c r="A5" s="19" t="str">
        <x:v>Gitee</x:v>
      </x:c>
      <x:c r="B5" s="19" t="str">
        <x:v>8686555/awesome-agent-skills</x:v>
      </x:c>
      <x:c r="C5" s="19" t="str">
        <x:v>https://gitee.com/8686555/awesome-agent-skills</x:v>
      </x:c>
      <x:c r="D5" s="19" t="str">
        <x:v>CC0-1.0</x:v>
      </x:c>
      <x:c r="E5" s="19" t="str">
        <x:v>99a60213930cb9d327d4743e72162ec02054ce4a</x:v>
      </x:c>
      <x:c r="F5" s="19" t="str">
        <x:v>2026-02-04</x:v>
      </x:c>
      <x:c r="G5" s="19" t="n">
        <x:f>COUNTIF('技能清单'!$G$5:$G$92,B5)</x:f>
        <x:v>5</x:v>
      </x:c>
    </x:row>
    <x:row r="6">
      <x:c r="A6" s="19" t="str">
        <x:v>GitHub</x:v>
      </x:c>
      <x:c r="B6" s="19" t="str">
        <x:v>K-Dense-AI/scientific-agent-skills</x:v>
      </x:c>
      <x:c r="C6" s="19" t="str">
        <x:v>https://github.com/K-Dense-AI/scientific-agent-skills</x:v>
      </x:c>
      <x:c r="D6" s="19" t="str">
        <x:v>MIT</x:v>
      </x:c>
      <x:c r="E6" s="19" t="str">
        <x:v>d767725c6e93b1d02a220e6be75b261a9833ede5</x:v>
      </x:c>
      <x:c r="F6" s="19" t="str">
        <x:v>2026-08-03</x:v>
      </x:c>
      <x:c r="G6" s="19" t="n">
        <x:f>COUNTIF('技能清单'!$G$5:$G$92,B6)</x:f>
        <x:v>18</x:v>
      </x:c>
    </x:row>
    <x:row r="7">
      <x:c r="A7" s="19" t="str">
        <x:v>GitHub</x:v>
      </x:c>
      <x:c r="B7" s="19" t="str">
        <x:v>addyosmani/agent-skills</x:v>
      </x:c>
      <x:c r="C7" s="19" t="str">
        <x:v>https://github.com/addyosmani/agent-skills</x:v>
      </x:c>
      <x:c r="D7" s="19" t="str">
        <x:v>MIT</x:v>
      </x:c>
      <x:c r="E7" s="19" t="str">
        <x:v>d2478bf0c73a6357df39a3ed6aff16acaa218843</x:v>
      </x:c>
      <x:c r="F7" s="19" t="str">
        <x:v>2026-08-06</x:v>
      </x:c>
      <x:c r="G7" s="19" t="n">
        <x:f>COUNTIF('技能清单'!$G$5:$G$92,B7)</x:f>
        <x:v>15</x:v>
      </x:c>
    </x:row>
    <x:row r="8">
      <x:c r="A8" s="19" t="str">
        <x:v>GitHub</x:v>
      </x:c>
      <x:c r="B8" s="19" t="str">
        <x:v>anthropics/skills</x:v>
      </x:c>
      <x:c r="C8" s="19" t="str">
        <x:v>https://github.com/anthropics/skills</x:v>
      </x:c>
      <x:c r="D8" s="19" t="str">
        <x:v>各技能目录 Apache-2.0</x:v>
      </x:c>
      <x:c r="E8" s="19" t="str">
        <x:v>b29e7cf65e5cb78a5ac33d582270551bc74a14eb</x:v>
      </x:c>
      <x:c r="F8" s="19" t="str">
        <x:v>2026-07-24</x:v>
      </x:c>
      <x:c r="G8" s="19" t="n">
        <x:f>COUNTIF('技能清单'!$G$5:$G$92,B8)</x:f>
        <x:v>3</x:v>
      </x:c>
    </x:row>
    <x:row r="9">
      <x:c r="A9" s="19" t="str">
        <x:v>GitHub</x:v>
      </x:c>
      <x:c r="B9" s="19" t="str">
        <x:v>arpitg1304/robotics-agent-skills</x:v>
      </x:c>
      <x:c r="C9" s="19" t="str">
        <x:v>https://github.com/arpitg1304/robotics-agent-skills</x:v>
      </x:c>
      <x:c r="D9" s="19" t="str">
        <x:v>Apache-2.0</x:v>
      </x:c>
      <x:c r="E9" s="19" t="str">
        <x:v>1147a77bc6cfb427c41a1d7284281e6bb60330d7</x:v>
      </x:c>
      <x:c r="F9" s="19" t="str">
        <x:v>2026-07-21</x:v>
      </x:c>
      <x:c r="G9" s="19" t="n">
        <x:f>COUNTIF('技能清单'!$G$5:$G$92,B9)</x:f>
        <x:v>4</x:v>
      </x:c>
    </x:row>
    <x:row r="10">
      <x:c r="A10" s="19" t="str">
        <x:v>GitLab</x:v>
      </x:c>
      <x:c r="B10" s="19" t="str">
        <x:v>gitlab-org/ai/skills</x:v>
      </x:c>
      <x:c r="C10" s="19" t="str">
        <x:v>https://gitlab.com/gitlab-org/ai/skills</x:v>
      </x:c>
      <x:c r="D10" s="19" t="str">
        <x:v>MIT</x:v>
      </x:c>
      <x:c r="E10" s="19" t="str">
        <x:v>aa0aec4a0425e234f9343687683289bee69e89ed</x:v>
      </x:c>
      <x:c r="F10" s="19" t="str">
        <x:v>2026-08-07</x:v>
      </x:c>
      <x:c r="G10" s="19" t="n">
        <x:f>COUNTIF('技能清单'!$G$5:$G$92,B10)</x:f>
        <x:v>3</x:v>
      </x:c>
    </x:row>
    <x:row r="11">
      <x:c r="A11" s="19" t="str">
        <x:v>GitHub（Hugging Face 官方上游）</x:v>
      </x:c>
      <x:c r="B11" s="19" t="str">
        <x:v>huggingface/skills</x:v>
      </x:c>
      <x:c r="C11" s="19" t="str">
        <x:v>https://github.com/huggingface/skills</x:v>
      </x:c>
      <x:c r="D11" s="19" t="str">
        <x:v>Apache-2.0</x:v>
      </x:c>
      <x:c r="E11" s="19" t="str">
        <x:v>7cb53d7a4746289db435c14fd7d7096965266b10</x:v>
      </x:c>
      <x:c r="F11" s="19" t="str">
        <x:v>2026-08-06</x:v>
      </x:c>
      <x:c r="G11" s="19" t="n">
        <x:f>COUNTIF('技能清单'!$G$5:$G$92,B11)</x:f>
        <x:v>3</x:v>
      </x:c>
    </x:row>
    <x:row r="12">
      <x:c r="A12" s="19" t="str">
        <x:v>GitHub</x:v>
      </x:c>
      <x:c r="B12" s="19" t="str">
        <x:v>leanprover/skills</x:v>
      </x:c>
      <x:c r="C12" s="19" t="str">
        <x:v>https://github.com/leanprover/skills</x:v>
      </x:c>
      <x:c r="D12" s="19" t="str">
        <x:v>Apache-2.0</x:v>
      </x:c>
      <x:c r="E12" s="19" t="str">
        <x:v>7d3da0282e7b724b07620e45cf212f2e05e19334</x:v>
      </x:c>
      <x:c r="F12" s="19" t="str">
        <x:v>2026-02-21</x:v>
      </x:c>
      <x:c r="G12" s="19" t="n">
        <x:f>COUNTIF('技能清单'!$G$5:$G$92,B12)</x:f>
        <x:v>2</x:v>
      </x:c>
    </x:row>
    <x:row r="13">
      <x:c r="A13" s="19" t="str">
        <x:v>GitHub</x:v>
      </x:c>
      <x:c r="B13" s="19" t="str">
        <x:v>obra/superpowers</x:v>
      </x:c>
      <x:c r="C13" s="19" t="str">
        <x:v>https://github.com/obra/superpowers</x:v>
      </x:c>
      <x:c r="D13" s="19" t="str">
        <x:v>MIT</x:v>
      </x:c>
      <x:c r="E13" s="19" t="str">
        <x:v>44c9b2d6e889982ac18c27d05a19fefe335194e1</x:v>
      </x:c>
      <x:c r="F13" s="19" t="str">
        <x:v>2026-07-28</x:v>
      </x:c>
      <x:c r="G13" s="19" t="n">
        <x:f>COUNTIF('技能清单'!$G$5:$G$92,B13)</x:f>
        <x:v>2</x:v>
      </x:c>
    </x:row>
    <x:row r="14">
      <x:c r="A14" s="19" t="str">
        <x:v>GitLab</x:v>
      </x:c>
      <x:c r="B14" s="19" t="str">
        <x:v>ska-telescope/ska-ai-skills</x:v>
      </x:c>
      <x:c r="C14" s="19" t="str">
        <x:v>https://gitlab.com/ska-telescope/ska-ai-skills</x:v>
      </x:c>
      <x:c r="D14" s="19" t="str">
        <x:v>BSD-3-Clause</x:v>
      </x:c>
      <x:c r="E14" s="19" t="str">
        <x:v>974ae9d2296d649fdcbd54962a71a065aef2a749</x:v>
      </x:c>
      <x:c r="F14" s="19" t="str">
        <x:v>2026-07-22</x:v>
      </x:c>
      <x:c r="G14" s="19" t="n">
        <x:f>COUNTIF('技能清单'!$G$5:$G$92,B14)</x:f>
        <x:v>2</x:v>
      </x:c>
    </x:row>
    <x:row r="15">
      <x:c r="A15" s="19" t="str">
        <x:v>GitHub</x:v>
      </x:c>
      <x:c r="B15" s="19" t="str">
        <x:v>travisjneuman/.claude</x:v>
      </x:c>
      <x:c r="C15" s="19" t="str">
        <x:v>https://github.com/travisjneuman/.claude</x:v>
      </x:c>
      <x:c r="D15" s="19" t="str">
        <x:v>MIT</x:v>
      </x:c>
      <x:c r="E15" s="19" t="str">
        <x:v>e74cd20465be466b0f30c19da760bc986c50177f</x:v>
      </x:c>
      <x:c r="F15" s="19" t="str">
        <x:v>2026-07-17</x:v>
      </x:c>
      <x:c r="G15" s="19" t="n">
        <x:f>COUNTIF('技能清单'!$G$5:$G$92,B15)</x:f>
        <x:v>8</x:v>
      </x:c>
    </x:row>
    <x:row r="16">
      <x:c r="A16" s="19" t="str">
        <x:v>GitHub</x:v>
      </x:c>
      <x:c r="B16" s="19" t="str">
        <x:v>wedsamuel1230/arduino-skills</x:v>
      </x:c>
      <x:c r="C16" s="19" t="str">
        <x:v>https://github.com/wedsamuel1230/arduino-skills</x:v>
      </x:c>
      <x:c r="D16" s="19" t="str">
        <x:v>MIT</x:v>
      </x:c>
      <x:c r="E16" s="19" t="str">
        <x:v>fdce2a4f6069503b1c907f51f2611597f34b4fda</x:v>
      </x:c>
      <x:c r="F16" s="19" t="str">
        <x:v>2026-05-27</x:v>
      </x:c>
      <x:c r="G16" s="19" t="n">
        <x:f>COUNTIF('技能清单'!$G$5:$G$92,B16)</x:f>
        <x:v>9</x:v>
      </x:c>
    </x:row>
    <x:row r="17">
      <x:c r="A17" s="19" t="str">
        <x:v>GitHub</x:v>
      </x:c>
      <x:c r="B17" s="19" t="str">
        <x:v>wshobson/agents</x:v>
      </x:c>
      <x:c r="C17" s="19" t="str">
        <x:v>https://github.com/wshobson/agents</x:v>
      </x:c>
      <x:c r="D17" s="19" t="str">
        <x:v>MIT</x:v>
      </x:c>
      <x:c r="E17" s="19" t="str">
        <x:v>c4b82b0ad771190355eb8e204b1329732a18449a</x:v>
      </x:c>
      <x:c r="F17" s="19" t="str">
        <x:v>2026-07-18</x:v>
      </x:c>
      <x:c r="G17" s="19" t="n">
        <x:f>COUNTIF('技能清单'!$G$5:$G$92,B17)</x:f>
        <x:v>14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a873f5396564a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>
      <x:c r="A1" s="2" t="str">
        <x:v>0809 计算机类｜范围、安全与使用规则</x:v>
      </x:c>
      <x:c r="B1" s="2"/>
      <x:c r="C1" s="2"/>
      <x:c r="D1" s="2"/>
      <x:c r="E1" s="2"/>
      <x:c r="F1" s="2"/>
    </x:row>
    <x:row r="3">
      <x:c r="A3" s="33" t="str">
        <x:v>项目</x:v>
      </x:c>
      <x:c r="B3" s="33" t="str">
        <x:v>规则</x:v>
      </x:c>
    </x:row>
    <x:row r="4">
      <x:c r="A4" s="42" t="str">
        <x:v>调研对象</x:v>
      </x:c>
      <x:c r="B4" s="19" t="str">
        <x:v>0809 计算机类 14 个本科专业；本工作簿不延伸到其他一级学科。</x:v>
      </x:c>
    </x:row>
    <x:row r="5">
      <x:c r="A5" s="42" t="str">
        <x:v>来源范围</x:v>
      </x:c>
      <x:c r="B5" s="19" t="str">
        <x:v>GitHub、GitLab、Gitee、Hugging Face 等公开开源平台；没有为平台多样性而降低准入标准。</x:v>
      </x:c>
    </x:row>
    <x:row r="6">
      <x:c r="A6" s="42" t="str">
        <x:v>正式收录</x:v>
      </x:c>
      <x:c r="B6" s="19" t="str">
        <x:v>只保留通过静态审查的正式候选；落选项仅保存在内部过程记录，不进入 Excel 与 Word。</x:v>
      </x:c>
    </x:row>
    <x:row r="7">
      <x:c r="A7" s="42" t="str">
        <x:v>验证方式</x:v>
      </x:c>
      <x:c r="B7" s="19" t="str">
        <x:v>读取入口说明、枚举包结构、检查脚本/依赖/网络/凭据/写入/删除/外部状态；未安装、未运行。</x:v>
      </x:c>
    </x:row>
    <x:row r="8">
      <x:c r="A8" s="42" t="str">
        <x:v>SA</x:v>
      </x:c>
      <x:c r="B8" s="19" t="str">
        <x:v>静态观察为低风险知识/流程包；仍需按校内制度和具体版本复核。</x:v>
      </x:c>
    </x:row>
    <x:row r="9">
      <x:c r="A9" s="42" t="str">
        <x:v>SB</x:v>
      </x:c>
      <x:c r="B9" s="19" t="str">
        <x:v>限制使用：隔离目录、最小权限、固定依赖、默认断网或白名单、状态改变前人工确认。</x:v>
      </x:c>
    </x:row>
    <x:row r="10">
      <x:c r="A10" s="42" t="str">
        <x:v>SB-A</x:v>
      </x:c>
      <x:c r="B10" s="19" t="str">
        <x:v>仅适配后使用：原包不可直接安装或整体复制；仅保留已审知识和模板，剥离高风险执行路径。</x:v>
      </x:c>
    </x:row>
    <x:row r="12">
      <x:c r="A12" s="32" t="str">
        <x:v>SB-A 适配版最低要求</x:v>
      </x:c>
      <x:c r="B12" s="32"/>
      <x:c r="C12" s="32"/>
      <x:c r="D12" s="32"/>
      <x:c r="E12" s="32"/>
      <x:c r="F12" s="32"/>
    </x:row>
    <x:row r="13">
      <x:c r="A13" s="33" t="str">
        <x:v>控制项</x:v>
      </x:c>
      <x:c r="B13" s="33" t="str">
        <x:v>最低要求</x:v>
      </x:c>
    </x:row>
    <x:row r="14">
      <x:c r="A14" s="42" t="str">
        <x:v>保留范围</x:v>
      </x:c>
      <x:c r="B14" s="19" t="str">
        <x:v>只保留 SKILL.md、说明性 references、非可执行模板以及逐文件复核后批准的脚本。</x:v>
      </x:c>
    </x:row>
    <x:row r="15">
      <x:c r="A15" s="42" t="str">
        <x:v>依赖</x:v>
      </x:c>
      <x:c r="B15" s="19" t="str">
        <x:v>移除 curl|shell、未固定版本的 npx -y、下载后直接执行；依赖必须锁版本并记录哈希。</x:v>
      </x:c>
    </x:row>
    <x:row r="16">
      <x:c r="A16" s="42" t="str">
        <x:v>凭据</x:v>
      </x:c>
      <x:c r="B16" s="19" t="str">
        <x:v>禁止自动搜索或读取 .env、令牌、密钥；由用户侧以最小权限按任务注入。</x:v>
      </x:c>
    </x:row>
    <x:row r="17">
      <x:c r="A17" s="42" t="str">
        <x:v>网络</x:v>
      </x:c>
      <x:c r="B17" s="19" t="str">
        <x:v>默认断网；必要联网采用域名白名单，不发送学生、员工、科研或管理敏感数据。</x:v>
      </x:c>
    </x:row>
    <x:row r="18">
      <x:c r="A18" s="42" t="str">
        <x:v>外部状态</x:v>
      </x:c>
      <x:c r="B18" s="19" t="str">
        <x:v>禁止自动上传、发布、推送、部署、评论、提交、付费训练或调用硬件执行。</x:v>
      </x:c>
    </x:row>
    <x:row r="19">
      <x:c r="A19" s="42" t="str">
        <x:v>文件系统</x:v>
      </x:c>
      <x:c r="B19" s="19" t="str">
        <x:v>输出到显式指定的新目录，禁止静默覆盖、递归删除或访问无关目录。</x:v>
      </x:c>
    </x:row>
    <x:row r="21">
      <x:c r="A21" s="37" t="str">
        <x:v>结论边界：静态审查只能降低已发现风险，不能证明运行时绝对安全。环境、依赖、上游版本、外部服务和输入数据变化后，原结论必须重新审查。</x:v>
      </x:c>
      <x:c r="B21" s="37"/>
      <x:c r="C21" s="37"/>
      <x:c r="D21" s="37"/>
      <x:c r="E21" s="37"/>
      <x:c r="F21" s="37"/>
    </x:row>
    <x:row r="22">
      <x:c r="A22" s="37"/>
      <x:c r="B22" s="37"/>
      <x:c r="C22" s="37"/>
      <x:c r="D22" s="37"/>
      <x:c r="E22" s="37"/>
      <x:c r="F22" s="37"/>
    </x:row>
  </x:sheetData>
  <x:mergeCells>
    <x:mergeCell ref="A1:F1"/>
    <x:mergeCell ref="A12:F12"/>
    <x:mergeCell ref="A21:F22"/>
  </x:mergeCells>
  <x:pageMargins left="0.7" right="0.7" top="0.75" bottom="0.75" header="0.3" footer="0.3"/>
</x:worksheet>
</file>