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e14a3bf75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2f086efc7d84713"/>
    <x:sheet xmlns:r="http://schemas.openxmlformats.org/officeDocument/2006/relationships" name="Skill总表" sheetId="2" r:id="Ra59c7e3f9dd84562"/>
    <x:sheet xmlns:r="http://schemas.openxmlformats.org/officeDocument/2006/relationships" name="分类统计" sheetId="3" r:id="Rf1341efdf71b48f0"/>
    <x:sheet xmlns:r="http://schemas.openxmlformats.org/officeDocument/2006/relationships" name="来源清单" sheetId="4" r:id="R595c865f262e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0"/>
      </x:patternFill>
    </x:fill>
    <x:fill>
      <x:patternFill patternType="solid">
        <x:fgColor rgb="FF1F6F8B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</x:cellXfs>
  <x:cellStyles count="1">
    <x:cellStyle name="Normal" xfId="0"/>
  </x:cellStyles>
  <x:dxfs count="4">
    <x:dxf>
      <x:font>
        <x:b/>
        <x:color rgb="FF16324F"/>
      </x:font>
      <x:fill>
        <x:patternFill patternType="solid">
          <x:bgColor rgb="FFDDF3E4"/>
        </x:patternFill>
      </x:fill>
    </x:dxf>
    <x:dxf>
      <x:fill>
        <x:patternFill patternType="solid">
          <x:bgColor rgb="FFDCEAF0"/>
        </x:patternFill>
      </x:fill>
    </x:dxf>
    <x:dxf>
      <x:fill>
        <x:patternFill patternType="solid">
          <x:bgColor rgb="FFFFF0C7"/>
        </x:patternFill>
      </x:fill>
    </x:dxf>
    <x:dxf>
      <x:font>
        <x:b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9ac66269d4a78" /><Relationship Type="http://schemas.openxmlformats.org/officeDocument/2006/relationships/theme" Target="/xl/theme/theme1.xml" Id="Rf77703ab803b4556" /><Relationship Type="http://schemas.openxmlformats.org/officeDocument/2006/relationships/sharedStrings" Target="/xl/sharedStrings.xml" Id="R9c230786ebf14dec" /><Relationship Type="http://schemas.openxmlformats.org/officeDocument/2006/relationships/worksheet" Target="/xl/worksheets/sheet1.xml" Id="Rf2f086efc7d84713" /><Relationship Type="http://schemas.openxmlformats.org/officeDocument/2006/relationships/worksheet" Target="/xl/worksheets/sheet2.xml" Id="Ra59c7e3f9dd84562" /><Relationship Type="http://schemas.openxmlformats.org/officeDocument/2006/relationships/worksheet" Target="/xl/worksheets/sheet3.xml" Id="Rf1341efdf71b48f0" /><Relationship Type="http://schemas.openxmlformats.org/officeDocument/2006/relationships/worksheet" Target="/xl/worksheets/sheet4.xml" Id="R595c865f262e4b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6f877f382947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兼容等级分布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'分类统计'!$A$13:$A$16</c:f>
              <c:strCache>
                <c:ptCount val="0"/>
              </c:strCache>
            </c:strRef>
          </c:cat>
          <c:val>
            <c:numRef>
              <c:f>'分类统计'!$B$13:$B$16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6f877f382947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illTable01" displayName="SkillTable01" ref="A4:V23" headerRowCount="1" totalsRowCount="0" totalsRowShown="0">
  <x:tableColumns count="22">
    <x:tableColumn id="1" name="序号"/>
    <x:tableColumn id="2" name="Skill ID"/>
    <x:tableColumn id="3" name="Skill名称"/>
    <x:tableColumn id="4" name="中文定位"/>
    <x:tableColumn id="5" name="简略功能"/>
    <x:tableColumn id="6" name="Skill地址"/>
    <x:tableColumn id="7" name="GitHub仓库"/>
    <x:tableColumn id="8" name="仓库地址"/>
    <x:tableColumn id="9" name="生态"/>
    <x:tableColumn id="10" name="来源形态"/>
    <x:tableColumn id="11" name="功能标签"/>
    <x:tableColumn id="12" name="适用角色"/>
    <x:tableColumn id="13" name="典型场景"/>
    <x:tableColumn id="14" name="兼容等级"/>
    <x:tableColumn id="15" name="适配建议"/>
    <x:tableColumn id="16" name="依赖条件"/>
    <x:tableColumn id="17" name="风险与边界"/>
    <x:tableColumn id="18" name="验证层级"/>
    <x:tableColumn id="19" name="优先级"/>
    <x:tableColumn id="20" name="Stars"/>
    <x:tableColumn id="21" name="最近推送"/>
    <x:tableColumn id="22" name="许可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able01" displayName="SourceTable01" ref="A4:G10" headerRowCount="1" totalsRowCount="0" totalsRowShown="0">
  <x:tableColumns count="7">
    <x:tableColumn id="1" name="GitHub仓库"/>
    <x:tableColumn id="2" name="仓库地址"/>
    <x:tableColumn id="3" name="Stars"/>
    <x:tableColumn id="4" name="最近推送"/>
    <x:tableColumn id="5" name="许可证"/>
    <x:tableColumn id="6" name="入选Skill数"/>
    <x:tableColumn id="7" name="来源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22251f26334b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5bba129b2b1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cf77050f944a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28" hidden="0" customWidth="1"/>
    <x:col min="4" max="4" width="28" hidden="0" customWidth="1"/>
  </x:cols>
  <x:sheetData>
    <x:row r="1" ht="38" customHeight="1">
      <x:c r="A1" s="3" t="str">
        <x:v>学术写作、引用与出版｜GitHub Skill 调研</x:v>
      </x:c>
      <x:c r="B1" s="3"/>
      <x:c r="C1" s="3"/>
      <x:c r="D1" s="3"/>
      <x:c r="E1" s="3"/>
      <x:c r="F1" s="3"/>
      <x:c r="G1" s="3"/>
      <x:c r="H1" s="3"/>
    </x:row>
    <x:row r="2">
      <x:c r="A2" s="6" t="str">
        <x:v>独立分类交付物｜仅含入选项｜数据日期 2026-08-06</x:v>
      </x:c>
      <x:c r="B2" s="6"/>
      <x:c r="C2" s="6"/>
      <x:c r="D2" s="6"/>
      <x:c r="E2" s="6"/>
      <x:c r="F2" s="6"/>
      <x:c r="G2" s="6"/>
      <x:c r="H2" s="6"/>
    </x:row>
    <x:row r="4">
      <x:c r="A4" s="9" t="str">
        <x:v>项目</x:v>
      </x:c>
      <x:c r="B4" s="9" t="str">
        <x:v>说明</x:v>
      </x:c>
    </x:row>
    <x:row r="5">
      <x:c r="A5" s="12" t="str">
        <x:v>调研范围</x:v>
      </x:c>
      <x:c r="B5" s="13" t="str">
        <x:v>仅 GitHub；其他平台与市场不在本轮交付范围</x:v>
      </x:c>
    </x:row>
    <x:row r="6">
      <x:c r="A6" s="12" t="str">
        <x:v>分类</x:v>
      </x:c>
      <x:c r="B6" s="13" t="str">
        <x:v>学术写作、引用与出版</x:v>
      </x:c>
    </x:row>
    <x:row r="7">
      <x:c r="A7" s="12" t="str">
        <x:v>入选数量</x:v>
      </x:c>
      <x:c r="B7" s="13" t="n">
        <x:v>19</x:v>
      </x:c>
    </x:row>
    <x:row r="8">
      <x:c r="A8" s="12" t="str">
        <x:v>内容验证</x:v>
      </x:c>
      <x:c r="B8" s="13" t="str">
        <x:v>读取 SKILL.md/README；部分候选进一步检查脚本、references、assets 和仓库结构</x:v>
      </x:c>
    </x:row>
    <x:row r="9">
      <x:c r="A9" s="12" t="str">
        <x:v>运行验证</x:v>
      </x:c>
      <x:c r="B9" s="13" t="str">
        <x:v>未安装、未执行；仅在用户另行指令后开展</x:v>
      </x:c>
    </x:row>
    <x:row r="10">
      <x:c r="A10" s="12" t="str">
        <x:v>排除项</x:v>
      </x:c>
      <x:c r="B10" s="13" t="str">
        <x:v>不进入本表；仅保存在项目内部归档</x:v>
      </x:c>
    </x:row>
    <x:row r="12">
      <x:c r="A12" s="14" t="str">
        <x:v>兼容等级释义</x:v>
      </x:c>
      <x:c r="B12" s="14"/>
      <x:c r="C12" s="14"/>
      <x:c r="D12" s="14"/>
      <x:c r="E12" s="14"/>
      <x:c r="F12" s="14"/>
      <x:c r="G12" s="14"/>
      <x:c r="H12" s="14"/>
    </x:row>
    <x:row r="13">
      <x:c r="A13" s="15" t="str">
        <x:v>等级</x:v>
      </x:c>
      <x:c r="B13" s="15" t="str">
        <x:v>含义</x:v>
      </x:c>
      <x:c r="C13" s="15" t="str">
        <x:v>建议</x:v>
      </x:c>
      <x:c r="D13" s="15" t="str">
        <x:v>备注</x:v>
      </x:c>
    </x:row>
    <x:row r="14">
      <x:c r="A14" s="13" t="str">
        <x:v>A</x:v>
      </x:c>
      <x:c r="B14" s="13" t="str">
        <x:v>可直接按 Agent Skill/Codex skill 结构使用</x:v>
      </x:c>
      <x:c r="C14" s="13" t="str">
        <x:v>优先试点</x:v>
      </x:c>
      <x:c r="D14" s="13" t="str">
        <x:v>仍需按本校工具和制度补充配置</x:v>
      </x:c>
    </x:row>
    <x:row r="15">
      <x:c r="A15" s="13" t="str">
        <x:v>B</x:v>
      </x:c>
      <x:c r="B15" s="13" t="str">
        <x:v>核心工作流可移植，需要替换工具或路径</x:v>
      </x:c>
      <x:c r="C15" s="13" t="str">
        <x:v>列入适配队列</x:v>
      </x:c>
      <x:c r="D15" s="13" t="str">
        <x:v>通常依赖外部 API、脚本或相邻 skill</x:v>
      </x:c>
    </x:row>
    <x:row r="16">
      <x:c r="A16" s="13" t="str">
        <x:v>C</x:v>
      </x:c>
      <x:c r="B16" s="13" t="str">
        <x:v>可借鉴，但需明显重写或部署配套服务</x:v>
      </x:c>
      <x:c r="C16" s="13" t="str">
        <x:v>场景验证后再建设</x:v>
      </x:c>
      <x:c r="D16" s="13" t="str">
        <x:v>关注维护、权限与部署成本</x:v>
      </x:c>
    </x:row>
    <x:row r="17">
      <x:c r="A17" s="13" t="str">
        <x:v>D</x:v>
      </x:c>
      <x:c r="B17" s="13" t="str">
        <x:v>主要作为方法或模板参考</x:v>
      </x:c>
      <x:c r="C17" s="13" t="str">
        <x:v>按需吸收</x:v>
      </x:c>
      <x:c r="D17" s="13" t="str">
        <x:v>不建议原样接入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4" hidden="0" customWidth="1"/>
    <x:col min="5" max="5" width="42" hidden="0" customWidth="1"/>
    <x:col min="6" max="6" width="55" hidden="0" customWidth="1"/>
    <x:col min="7" max="7" width="37" hidden="0" customWidth="1"/>
    <x:col min="8" max="8" width="46" hidden="0" customWidth="1"/>
    <x:col min="9" max="9" width="30" hidden="0" customWidth="1"/>
    <x:col min="10" max="10" width="30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15" hidden="0" customWidth="1"/>
    <x:col min="19" max="19" width="15" hidden="0" customWidth="1"/>
    <x:col min="20" max="20" width="11" hidden="0" customWidth="1"/>
    <x:col min="21" max="21" width="14" hidden="0" customWidth="1"/>
    <x:col min="22" max="22" width="20" hidden="0" customWidth="1"/>
  </x:cols>
  <x:sheetData>
    <x:row r="1" ht="34" customHeight="1">
      <x:c r="A1" s="16" t="str">
        <x:v>学术写作、引用与出版｜入选 Skill 总表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>
      <x:c r="A2" s="5" t="str">
        <x:v>共 19 项；地址为纯文本 GitHub URL；验证不含安装或运行。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 ht="32" customHeight="1">
      <x:c r="A4" s="15" t="str">
        <x:v>序号</x:v>
      </x:c>
      <x:c r="B4" s="15" t="str">
        <x:v>Skill ID</x:v>
      </x:c>
      <x:c r="C4" s="15" t="str">
        <x:v>Skill名称</x:v>
      </x:c>
      <x:c r="D4" s="15" t="str">
        <x:v>中文定位</x:v>
      </x:c>
      <x:c r="E4" s="15" t="str">
        <x:v>简略功能</x:v>
      </x:c>
      <x:c r="F4" s="15" t="str">
        <x:v>Skill地址</x:v>
      </x:c>
      <x:c r="G4" s="15" t="str">
        <x:v>GitHub仓库</x:v>
      </x:c>
      <x:c r="H4" s="15" t="str">
        <x:v>仓库地址</x:v>
      </x:c>
      <x:c r="I4" s="15" t="str">
        <x:v>生态</x:v>
      </x:c>
      <x:c r="J4" s="15" t="str">
        <x:v>来源形态</x:v>
      </x:c>
      <x:c r="K4" s="15" t="str">
        <x:v>功能标签</x:v>
      </x:c>
      <x:c r="L4" s="15" t="str">
        <x:v>适用角色</x:v>
      </x:c>
      <x:c r="M4" s="15" t="str">
        <x:v>典型场景</x:v>
      </x:c>
      <x:c r="N4" s="15" t="str">
        <x:v>兼容等级</x:v>
      </x:c>
      <x:c r="O4" s="15" t="str">
        <x:v>适配建议</x:v>
      </x:c>
      <x:c r="P4" s="15" t="str">
        <x:v>依赖条件</x:v>
      </x:c>
      <x:c r="Q4" s="15" t="str">
        <x:v>风险与边界</x:v>
      </x:c>
      <x:c r="R4" s="15" t="str">
        <x:v>验证层级</x:v>
      </x:c>
      <x:c r="S4" s="15" t="str">
        <x:v>优先级</x:v>
      </x:c>
      <x:c r="T4" s="15" t="str">
        <x:v>Stars</x:v>
      </x:c>
      <x:c r="U4" s="15" t="str">
        <x:v>最近推送</x:v>
      </x:c>
      <x:c r="V4" s="15" t="str">
        <x:v>许可证</x:v>
      </x:c>
    </x:row>
    <x:row r="5" ht="58" customHeight="1">
      <x:c r="A5" s="20" t="n">
        <x:v>1</x:v>
      </x:c>
      <x:c r="B5" s="20" t="str">
        <x:v>GH-01-0001</x:v>
      </x:c>
      <x:c r="C5" s="19" t="str">
        <x:v>scientific-writing</x:v>
      </x:c>
      <x:c r="D5" s="19" t="str">
        <x:v>科学论文写作与审计</x:v>
      </x:c>
      <x:c r="E5" s="19" t="str">
        <x:v>起草、修订并审计科学论文或研究报告。</x:v>
      </x:c>
      <x:c r="F5" s="19" t="str">
        <x:v>https://github.com/K-Dense-AI/scientific-agent-skills/blob/main/skills/scientific-writing/SKILL.md</x:v>
      </x:c>
      <x:c r="G5" s="19" t="str">
        <x:v>K-Dense-AI/scientific-agent-skills</x:v>
      </x:c>
      <x:c r="H5" s="19" t="str">
        <x:v>https://github.com/K-Dense-AI/scientific-agent-skills</x:v>
      </x:c>
      <x:c r="I5" s="19" t="str">
        <x:v>Agent Skills（兼容 Codex）</x:v>
      </x:c>
      <x:c r="J5" s="19" t="str">
        <x:v>社区 skill、开源仓库</x:v>
      </x:c>
      <x:c r="K5" s="19" t="str">
        <x:v>科学写作、证据溯源、报告规范、投稿准备</x:v>
      </x:c>
      <x:c r="L5" s="19" t="str">
        <x:v>学生、科研人员、教学人员</x:v>
      </x:c>
      <x:c r="M5" s="19" t="str">
        <x:v>论文各章节写作、报告规范核对、投稿前一致性审查</x:v>
      </x:c>
      <x:c r="N5" s="21" t="str">
        <x:v>A</x:v>
      </x:c>
      <x:c r="O5" s="19" t="str">
        <x:v>可直接按 Codex skill 方式使用；按学科补充本校模板。</x:v>
      </x:c>
      <x:c r="P5" s="19" t="str">
        <x:v>Python 3.11+ 仅用于可选本地脚本</x:v>
      </x:c>
      <x:c r="Q5" s="19" t="str">
        <x:v>不应把生成文本视为证据；未发表材料需按授权边界处理。</x:v>
      </x:c>
      <x:c r="R5" s="21" t="str">
        <x:v>二级包内容验证</x:v>
      </x:c>
      <x:c r="S5" s="21" t="str">
        <x:v>高</x:v>
      </x:c>
      <x:c r="T5" s="20" t="n">
        <x:v>32811</x:v>
      </x:c>
      <x:c r="U5" s="20" t="str">
        <x:v>2026-08-03</x:v>
      </x:c>
      <x:c r="V5" s="18" t="str">
        <x:v>MIT</x:v>
      </x:c>
    </x:row>
    <x:row r="6" ht="58" customHeight="1">
      <x:c r="A6" s="20" t="n">
        <x:v>2</x:v>
      </x:c>
      <x:c r="B6" s="20" t="str">
        <x:v>GH-01-0002</x:v>
      </x:c>
      <x:c r="C6" s="19" t="str">
        <x:v>citation-management</x:v>
      </x:c>
      <x:c r="D6" s="19" t="str">
        <x:v>引文与 BibTeX 管理</x:v>
      </x:c>
      <x:c r="E6" s="19" t="str">
        <x:v>检索论文元数据、验证引文并生成规范 BibTeX。</x:v>
      </x:c>
      <x:c r="F6" s="19" t="str">
        <x:v>https://github.com/K-Dense-AI/scientific-agent-skills/blob/main/skills/citation-management/SKILL.md</x:v>
      </x:c>
      <x:c r="G6" s="19" t="str">
        <x:v>K-Dense-AI/scientific-agent-skills</x:v>
      </x:c>
      <x:c r="H6" s="19" t="str">
        <x:v>https://github.com/K-Dense-AI/scientific-agent-skills</x:v>
      </x:c>
      <x:c r="I6" s="19" t="str">
        <x:v>Agent Skills（兼容 Codex）</x:v>
      </x:c>
      <x:c r="J6" s="19" t="str">
        <x:v>社区 skill、开源仓库</x:v>
      </x:c>
      <x:c r="K6" s="19" t="str">
        <x:v>引文检索、DOI、BibTeX、参考文献核验</x:v>
      </x:c>
      <x:c r="L6" s="19" t="str">
        <x:v>学生、科研人员、图书馆人员</x:v>
      </x:c>
      <x:c r="M6" s="19" t="str">
        <x:v>毕业论文参考文献、课题组文献库、投稿前引文核对</x:v>
      </x:c>
      <x:c r="N6" s="21" t="str">
        <x:v>A</x:v>
      </x:c>
      <x:c r="O6" s="19" t="str">
        <x:v>直接使用流程；外部检索工具按可用性替换。</x:v>
      </x:c>
      <x:c r="P6" s="19" t="str">
        <x:v>学术数据库或搜索工具；部分流程需要网络</x:v>
      </x:c>
      <x:c r="Q6" s="19" t="str">
        <x:v>数据库覆盖和速率不同；自动格式化仍需抽查。</x:v>
      </x:c>
      <x:c r="R6" s="21" t="str">
        <x:v>二级包内容验证</x:v>
      </x:c>
      <x:c r="S6" s="21" t="str">
        <x:v>高</x:v>
      </x:c>
      <x:c r="T6" s="20" t="n">
        <x:v>32811</x:v>
      </x:c>
      <x:c r="U6" s="20" t="str">
        <x:v>2026-08-03</x:v>
      </x:c>
      <x:c r="V6" s="18" t="str">
        <x:v>MIT</x:v>
      </x:c>
    </x:row>
    <x:row r="7" ht="58" customHeight="1">
      <x:c r="A7" s="20" t="n">
        <x:v>3</x:v>
      </x:c>
      <x:c r="B7" s="20" t="str">
        <x:v>GH-01-0003</x:v>
      </x:c>
      <x:c r="C7" s="19" t="str">
        <x:v>venue-templates</x:v>
      </x:c>
      <x:c r="D7" s="19" t="str">
        <x:v>期刊与会议模板适配</x:v>
      </x:c>
      <x:c r="E7" s="19" t="str">
        <x:v>按目标期刊或会议选择并核对稿件、海报和基金文档模板。</x:v>
      </x:c>
      <x:c r="F7" s="19" t="str">
        <x:v>https://github.com/K-Dense-AI/scientific-agent-skills/blob/main/skills/venue-templates/SKILL.md</x:v>
      </x:c>
      <x:c r="G7" s="19" t="str">
        <x:v>K-Dense-AI/scientific-agent-skills</x:v>
      </x:c>
      <x:c r="H7" s="19" t="str">
        <x:v>https://github.com/K-Dense-AI/scientific-agent-skills</x:v>
      </x:c>
      <x:c r="I7" s="19" t="str">
        <x:v>Agent Skills（兼容 Codex）</x:v>
      </x:c>
      <x:c r="J7" s="19" t="str">
        <x:v>社区 skill、开源仓库</x:v>
      </x:c>
      <x:c r="K7" s="19" t="str">
        <x:v>期刊模板、会议格式、匿名规则、页面限制</x:v>
      </x:c>
      <x:c r="L7" s="19" t="str">
        <x:v>科研人员、研究生</x:v>
      </x:c>
      <x:c r="M7" s="19" t="str">
        <x:v>会议投稿、期刊改投、匿名稿与终稿格式检查</x:v>
      </x:c>
      <x:c r="N7" s="21" t="str">
        <x:v>A</x:v>
      </x:c>
      <x:c r="O7" s="19" t="str">
        <x:v>直接采用验证优先流程；为本校常投期刊建立本地配置。</x:v>
      </x:c>
      <x:c r="P7" s="19" t="str">
        <x:v>LaTeX/PDF 工具；需要访问当前官方作者指南</x:v>
      </x:c>
      <x:c r="Q7" s="19" t="str">
        <x:v>投稿规则会变化，缓存模板不能代替实时核对。</x:v>
      </x:c>
      <x:c r="R7" s="21" t="str">
        <x:v>说明已核验</x:v>
      </x:c>
      <x:c r="S7" s="21" t="str">
        <x:v>高</x:v>
      </x:c>
      <x:c r="T7" s="20" t="n">
        <x:v>32811</x:v>
      </x:c>
      <x:c r="U7" s="20" t="str">
        <x:v>2026-08-03</x:v>
      </x:c>
      <x:c r="V7" s="18" t="str">
        <x:v>MIT</x:v>
      </x:c>
    </x:row>
    <x:row r="8" ht="58" customHeight="1">
      <x:c r="A8" s="20" t="n">
        <x:v>4</x:v>
      </x:c>
      <x:c r="B8" s="20" t="str">
        <x:v>GH-01-0004</x:v>
      </x:c>
      <x:c r="C8" s="19" t="str">
        <x:v>pyzotero</x:v>
      </x:c>
      <x:c r="D8" s="19" t="str">
        <x:v>Zotero 程序化管理</x:v>
      </x:c>
      <x:c r="E8" s="19" t="str">
        <x:v>通过 pyzotero 操作 Zotero 文献库、集合、标签和附件。</x:v>
      </x:c>
      <x:c r="F8" s="19" t="str">
        <x:v>https://github.com/K-Dense-AI/scientific-agent-skills/blob/main/skills/pyzotero/SKILL.md</x:v>
      </x:c>
      <x:c r="G8" s="19" t="str">
        <x:v>K-Dense-AI/scientific-agent-skills</x:v>
      </x:c>
      <x:c r="H8" s="19" t="str">
        <x:v>https://github.com/K-Dense-AI/scientific-agent-skills</x:v>
      </x:c>
      <x:c r="I8" s="19" t="str">
        <x:v>Agent Skills（兼容 Codex）</x:v>
      </x:c>
      <x:c r="J8" s="19" t="str">
        <x:v>社区 skill、开源仓库</x:v>
      </x:c>
      <x:c r="K8" s="19" t="str">
        <x:v>Zotero、文献库、标签、附件、API</x:v>
      </x:c>
      <x:c r="L8" s="19" t="str">
        <x:v>科研人员、学生、图书馆人员</x:v>
      </x:c>
      <x:c r="M8" s="19" t="str">
        <x:v>共享文献库维护、参考文献批量导出、标签整理</x:v>
      </x:c>
      <x:c r="N8" s="21" t="str">
        <x:v>B</x:v>
      </x:c>
      <x:c r="O8" s="19" t="str">
        <x:v>配置 Zotero API 凭据并限制写操作；先以只读查询接入。</x:v>
      </x:c>
      <x:c r="P8" s="19" t="str">
        <x:v>pyzotero、Zotero Web API、用户或群组密钥</x:v>
      </x:c>
      <x:c r="Q8" s="19" t="str">
        <x:v>写入和删除会改变文献库；凭据与附件权限需单独管理。</x:v>
      </x:c>
      <x:c r="R8" s="21" t="str">
        <x:v>说明已核验</x:v>
      </x:c>
      <x:c r="S8" s="21" t="str">
        <x:v>中</x:v>
      </x:c>
      <x:c r="T8" s="20" t="n">
        <x:v>32811</x:v>
      </x:c>
      <x:c r="U8" s="20" t="str">
        <x:v>2026-08-03</x:v>
      </x:c>
      <x:c r="V8" s="18" t="str">
        <x:v>MIT</x:v>
      </x:c>
    </x:row>
    <x:row r="9" ht="58" customHeight="1">
      <x:c r="A9" s="20" t="n">
        <x:v>5</x:v>
      </x:c>
      <x:c r="B9" s="20" t="str">
        <x:v>GH-01-0005</x:v>
      </x:c>
      <x:c r="C9" s="19" t="str">
        <x:v>orchestrate-paper</x:v>
      </x:c>
      <x:c r="D9" s="19" t="str">
        <x:v>论文全生命周期编排</x:v>
      </x:c>
      <x:c r="E9" s="19" t="str">
        <x:v>从研究想法到投稿组织论文生命周期技能。</x:v>
      </x:c>
      <x:c r="F9" s="19" t="str">
        <x:v>https://github.com/ShaishavMaisuria/research-paper-lifecycle-skills/blob/main/skills/orchestrate-paper/SKILL.md</x:v>
      </x:c>
      <x:c r="G9" s="19" t="str">
        <x:v>ShaishavMaisuria/research-paper-lifecycle-skills</x:v>
      </x:c>
      <x:c r="H9" s="19" t="str">
        <x:v>https://github.com/ShaishavMaisuria/research-paper-lifecycle-skills</x:v>
      </x:c>
      <x:c r="I9" s="19" t="str">
        <x:v>Agent Skills</x:v>
      </x:c>
      <x:c r="J9" s="19" t="str">
        <x:v>社区 skill、开源仓库</x:v>
      </x:c>
      <x:c r="K9" s="19" t="str">
        <x:v>论文流程、阶段门、投稿编排、验证</x:v>
      </x:c>
      <x:c r="L9" s="19" t="str">
        <x:v>科研人员、研究生</x:v>
      </x:c>
      <x:c r="M9" s="19" t="str">
        <x:v>课题论文进度管理、投稿路线规划、团队检查点</x:v>
      </x:c>
      <x:c r="N9" s="21" t="str">
        <x:v>B</x:v>
      </x:c>
      <x:c r="O9" s="19" t="str">
        <x:v>需要同时引入其兄弟技能或改写路由表。</x:v>
      </x:c>
      <x:c r="P9" s="19" t="str">
        <x:v>同仓库多个生命周期 skill；部分阶段需要实时网页信息</x:v>
      </x:c>
      <x:c r="Q9" s="19" t="str">
        <x:v>不能替代作者决策，也不应自动投稿。</x:v>
      </x:c>
      <x:c r="R9" s="21" t="str">
        <x:v>二级包内容验证</x:v>
      </x:c>
      <x:c r="S9" s="21" t="str">
        <x:v>高</x:v>
      </x:c>
      <x:c r="T9" s="20" t="n">
        <x:v>21</x:v>
      </x:c>
      <x:c r="U9" s="20" t="str">
        <x:v>2026-06-27</x:v>
      </x:c>
      <x:c r="V9" s="18" t="str">
        <x:v>Apache-2.0</x:v>
      </x:c>
    </x:row>
    <x:row r="10" ht="58" customHeight="1">
      <x:c r="A10" s="20" t="n">
        <x:v>6</x:v>
      </x:c>
      <x:c r="B10" s="20" t="str">
        <x:v>GH-01-0006</x:v>
      </x:c>
      <x:c r="C10" s="19" t="str">
        <x:v>draft-related-work</x:v>
      </x:c>
      <x:c r="D10" s="19" t="str">
        <x:v>相关工作章节写作</x:v>
      </x:c>
      <x:c r="E10" s="19" t="str">
        <x:v>基于实际检索论文起草或重写 Related Work。</x:v>
      </x:c>
      <x:c r="F10" s="19" t="str">
        <x:v>https://github.com/ShaishavMaisuria/research-paper-lifecycle-skills/blob/main/skills/draft-related-work/SKILL.md</x:v>
      </x:c>
      <x:c r="G10" s="19" t="str">
        <x:v>ShaishavMaisuria/research-paper-lifecycle-skills</x:v>
      </x:c>
      <x:c r="H10" s="19" t="str">
        <x:v>https://github.com/ShaishavMaisuria/research-paper-lifecycle-skills</x:v>
      </x:c>
      <x:c r="I10" s="19" t="str">
        <x:v>Agent Skills</x:v>
      </x:c>
      <x:c r="J10" s="19" t="str">
        <x:v>社区 skill、开源仓库</x:v>
      </x:c>
      <x:c r="K10" s="19" t="str">
        <x:v>相关工作、主题聚类、研究差异、引文覆盖</x:v>
      </x:c>
      <x:c r="L10" s="19" t="str">
        <x:v>科研人员、研究生</x:v>
      </x:c>
      <x:c r="M10" s="19" t="str">
        <x:v>论文相关工作重构、补齐研究脉络和差异定位</x:v>
      </x:c>
      <x:c r="N10" s="21" t="str">
        <x:v>B</x:v>
      </x:c>
      <x:c r="O10" s="19" t="str">
        <x:v>与检索和引文验证技能配套；替换目标学科的章节惯例。</x:v>
      </x:c>
      <x:c r="P10" s="19" t="str">
        <x:v>find-papers 或现有 BibTeX 文献库</x:v>
      </x:c>
      <x:c r="Q10" s="19" t="str">
        <x:v>检索不足会导致主题失衡；不应生成未核验引文。</x:v>
      </x:c>
      <x:c r="R10" s="21" t="str">
        <x:v>说明已核验</x:v>
      </x:c>
      <x:c r="S10" s="21" t="str">
        <x:v>高</x:v>
      </x:c>
      <x:c r="T10" s="20" t="n">
        <x:v>21</x:v>
      </x:c>
      <x:c r="U10" s="20" t="str">
        <x:v>2026-06-27</x:v>
      </x:c>
      <x:c r="V10" s="18" t="str">
        <x:v>Apache-2.0</x:v>
      </x:c>
    </x:row>
    <x:row r="11" ht="58" customHeight="1">
      <x:c r="A11" s="20" t="n">
        <x:v>7</x:v>
      </x:c>
      <x:c r="B11" s="20" t="str">
        <x:v>GH-01-0007</x:v>
      </x:c>
      <x:c r="C11" s="19" t="str">
        <x:v>verify-citations</x:v>
      </x:c>
      <x:c r="D11" s="19" t="str">
        <x:v>参考文献真实性核验</x:v>
      </x:c>
      <x:c r="E11" s="19" t="str">
        <x:v>逐条验证 BibTeX 文献并发现虚构、错误和重复条目。</x:v>
      </x:c>
      <x:c r="F11" s="19" t="str">
        <x:v>https://github.com/ShaishavMaisuria/research-paper-lifecycle-skills/blob/main/skills/verify-citations/SKILL.md</x:v>
      </x:c>
      <x:c r="G11" s="19" t="str">
        <x:v>ShaishavMaisuria/research-paper-lifecycle-skills</x:v>
      </x:c>
      <x:c r="H11" s="19" t="str">
        <x:v>https://github.com/ShaishavMaisuria/research-paper-lifecycle-skills</x:v>
      </x:c>
      <x:c r="I11" s="19" t="str">
        <x:v>Agent Skills</x:v>
      </x:c>
      <x:c r="J11" s="19" t="str">
        <x:v>社区 skill、开源仓库</x:v>
      </x:c>
      <x:c r="K11" s="19" t="str">
        <x:v>BibTeX、Crossref、DBLP、Semantic Scholar、arXiv</x:v>
      </x:c>
      <x:c r="L11" s="19" t="str">
        <x:v>科研人员、研究生、编辑支持人员</x:v>
      </x:c>
      <x:c r="M11" s="19" t="str">
        <x:v>毕业论文与投稿稿件参考文献审计</x:v>
      </x:c>
      <x:c r="N11" s="21" t="str">
        <x:v>B</x:v>
      </x:c>
      <x:c r="O11" s="19" t="str">
        <x:v>映射到 Codex 可用的检索工具；保留人工打开原始记录步骤。</x:v>
      </x:c>
      <x:c r="P11" s="19" t="str">
        <x:v>外部学术 API；仓库脚本</x:v>
      </x:c>
      <x:c r="Q11" s="19" t="str">
        <x:v>API 未解析不等于论文不存在，撤稿状态需人工复核。</x:v>
      </x:c>
      <x:c r="R11" s="21" t="str">
        <x:v>说明已核验</x:v>
      </x:c>
      <x:c r="S11" s="21" t="str">
        <x:v>高</x:v>
      </x:c>
      <x:c r="T11" s="20" t="n">
        <x:v>21</x:v>
      </x:c>
      <x:c r="U11" s="20" t="str">
        <x:v>2026-06-27</x:v>
      </x:c>
      <x:c r="V11" s="18" t="str">
        <x:v>Apache-2.0</x:v>
      </x:c>
    </x:row>
    <x:row r="12" ht="58" customHeight="1">
      <x:c r="A12" s="20" t="n">
        <x:v>8</x:v>
      </x:c>
      <x:c r="B12" s="20" t="str">
        <x:v>GH-01-0008</x:v>
      </x:c>
      <x:c r="C12" s="19" t="str">
        <x:v>write-abstract</x:v>
      </x:c>
      <x:c r="D12" s="19" t="str">
        <x:v>摘要与关键词撰写</x:v>
      </x:c>
      <x:c r="E12" s="19" t="str">
        <x:v>按投稿场景撰写、缩写和检查论文摘要。</x:v>
      </x:c>
      <x:c r="F12" s="19" t="str">
        <x:v>https://github.com/ShaishavMaisuria/research-paper-lifecycle-skills/blob/main/skills/write-abstract/SKILL.md</x:v>
      </x:c>
      <x:c r="G12" s="19" t="str">
        <x:v>ShaishavMaisuria/research-paper-lifecycle-skills</x:v>
      </x:c>
      <x:c r="H12" s="19" t="str">
        <x:v>https://github.com/ShaishavMaisuria/research-paper-lifecycle-skills</x:v>
      </x:c>
      <x:c r="I12" s="19" t="str">
        <x:v>Agent Skills</x:v>
      </x:c>
      <x:c r="J12" s="19" t="str">
        <x:v>社区 skill、开源仓库</x:v>
      </x:c>
      <x:c r="K12" s="19" t="str">
        <x:v>摘要、关键词、字数限制、摘要注册</x:v>
      </x:c>
      <x:c r="L12" s="19" t="str">
        <x:v>科研人员、研究生</x:v>
      </x:c>
      <x:c r="M12" s="19" t="str">
        <x:v>会议摘要注册、期刊摘要改写、学位论文摘要</x:v>
      </x:c>
      <x:c r="N12" s="21" t="str">
        <x:v>B</x:v>
      </x:c>
      <x:c r="O12" s="19" t="str">
        <x:v>将会场规则核验接口替换为当前可用网页工具。</x:v>
      </x:c>
      <x:c r="P12" s="19" t="str">
        <x:v>目标会场当前指南；可选检查脚本</x:v>
      </x:c>
      <x:c r="Q12" s="19" t="str">
        <x:v>摘要不能补造尚未确认的结果；字数规则会变化。</x:v>
      </x:c>
      <x:c r="R12" s="21" t="str">
        <x:v>说明已核验</x:v>
      </x:c>
      <x:c r="S12" s="21" t="str">
        <x:v>高</x:v>
      </x:c>
      <x:c r="T12" s="20" t="n">
        <x:v>21</x:v>
      </x:c>
      <x:c r="U12" s="20" t="str">
        <x:v>2026-06-27</x:v>
      </x:c>
      <x:c r="V12" s="18" t="str">
        <x:v>Apache-2.0</x:v>
      </x:c>
    </x:row>
    <x:row r="13" ht="58" customHeight="1">
      <x:c r="A13" s="20" t="n">
        <x:v>9</x:v>
      </x:c>
      <x:c r="B13" s="20" t="str">
        <x:v>GH-01-0009</x:v>
      </x:c>
      <x:c r="C13" s="19" t="str">
        <x:v>plan-submission</x:v>
      </x:c>
      <x:c r="D13" s="19" t="str">
        <x:v>投稿倒排计划</x:v>
      </x:c>
      <x:c r="E13" s="19" t="str">
        <x:v>从会议或期刊截止日期反推投稿准备计划。</x:v>
      </x:c>
      <x:c r="F13" s="19" t="str">
        <x:v>https://github.com/ShaishavMaisuria/research-paper-lifecycle-skills/blob/main/skills/plan-submission/SKILL.md</x:v>
      </x:c>
      <x:c r="G13" s="19" t="str">
        <x:v>ShaishavMaisuria/research-paper-lifecycle-skills</x:v>
      </x:c>
      <x:c r="H13" s="19" t="str">
        <x:v>https://github.com/ShaishavMaisuria/research-paper-lifecycle-skills</x:v>
      </x:c>
      <x:c r="I13" s="19" t="str">
        <x:v>Agent Skills</x:v>
      </x:c>
      <x:c r="J13" s="19" t="str">
        <x:v>社区 skill、开源仓库</x:v>
      </x:c>
      <x:c r="K13" s="19" t="str">
        <x:v>投稿计划、截止日期、系统账户、材料清单</x:v>
      </x:c>
      <x:c r="L13" s="19" t="str">
        <x:v>科研人员、研究生、科研管理人员</x:v>
      </x:c>
      <x:c r="M13" s="19" t="str">
        <x:v>会议投稿排期、课题组多人协作、终稿准备</x:v>
      </x:c>
      <x:c r="N13" s="21" t="str">
        <x:v>B</x:v>
      </x:c>
      <x:c r="O13" s="19" t="str">
        <x:v>接入日历前先保持只读计划；规则从官方 CFP 核验。</x:v>
      </x:c>
      <x:c r="P13" s="19" t="str">
        <x:v>实时 CFP 或作者指南</x:v>
      </x:c>
      <x:c r="Q13" s="19" t="str">
        <x:v>截止日期、时区和系统规则需实时核对。</x:v>
      </x:c>
      <x:c r="R13" s="21" t="str">
        <x:v>说明已核验</x:v>
      </x:c>
      <x:c r="S13" s="21" t="str">
        <x:v>中</x:v>
      </x:c>
      <x:c r="T13" s="20" t="n">
        <x:v>21</x:v>
      </x:c>
      <x:c r="U13" s="20" t="str">
        <x:v>2026-06-27</x:v>
      </x:c>
      <x:c r="V13" s="18" t="str">
        <x:v>Apache-2.0</x:v>
      </x:c>
    </x:row>
    <x:row r="14" ht="58" customHeight="1">
      <x:c r="A14" s="20" t="n">
        <x:v>10</x:v>
      </x:c>
      <x:c r="B14" s="20" t="str">
        <x:v>GH-01-0010</x:v>
      </x:c>
      <x:c r="C14" s="19" t="str">
        <x:v>prepare-camera-ready</x:v>
      </x:c>
      <x:c r="D14" s="19" t="str">
        <x:v>终稿与出版前准备</x:v>
      </x:c>
      <x:c r="E14" s="19" t="str">
        <x:v>为录用论文生成可执行的终稿准备清单并检查常见错误。</x:v>
      </x:c>
      <x:c r="F14" s="19" t="str">
        <x:v>https://github.com/ShaishavMaisuria/research-paper-lifecycle-skills/blob/main/skills/prepare-camera-ready/SKILL.md</x:v>
      </x:c>
      <x:c r="G14" s="19" t="str">
        <x:v>ShaishavMaisuria/research-paper-lifecycle-skills</x:v>
      </x:c>
      <x:c r="H14" s="19" t="str">
        <x:v>https://github.com/ShaishavMaisuria/research-paper-lifecycle-skills</x:v>
      </x:c>
      <x:c r="I14" s="19" t="str">
        <x:v>Agent Skills</x:v>
      </x:c>
      <x:c r="J14" s="19" t="str">
        <x:v>社区 skill、开源仓库</x:v>
      </x:c>
      <x:c r="K14" s="19" t="str">
        <x:v>camera-ready、版权、ORCID、PDF 检查、去匿名</x:v>
      </x:c>
      <x:c r="L14" s="19" t="str">
        <x:v>科研人员、研究生</x:v>
      </x:c>
      <x:c r="M14" s="19" t="str">
        <x:v>录用后终稿、版权材料和出版系统准备</x:v>
      </x:c>
      <x:c r="N14" s="21" t="str">
        <x:v>B</x:v>
      </x:c>
      <x:c r="O14" s="19" t="str">
        <x:v>保留咨询和本地 lint，禁止自动提交表单。</x:v>
      </x:c>
      <x:c r="P14" s="19" t="str">
        <x:v>LaTeX/PDF 工具；目标出版轨道信息</x:v>
      </x:c>
      <x:c r="Q14" s="19" t="str">
        <x:v>出版规则与表单具有时效性；最终提交必须人工完成。</x:v>
      </x:c>
      <x:c r="R14" s="21" t="str">
        <x:v>说明已核验</x:v>
      </x:c>
      <x:c r="S14" s="21" t="str">
        <x:v>高</x:v>
      </x:c>
      <x:c r="T14" s="20" t="n">
        <x:v>21</x:v>
      </x:c>
      <x:c r="U14" s="20" t="str">
        <x:v>2026-06-27</x:v>
      </x:c>
      <x:c r="V14" s="18" t="str">
        <x:v>Apache-2.0</x:v>
      </x:c>
    </x:row>
    <x:row r="15" ht="58" customHeight="1">
      <x:c r="A15" s="20" t="n">
        <x:v>11</x:v>
      </x:c>
      <x:c r="B15" s="20" t="str">
        <x:v>GH-01-0011</x:v>
      </x:c>
      <x:c r="C15" s="19" t="str">
        <x:v>work-with-overleaf</x:v>
      </x:c>
      <x:c r="D15" s="19" t="str">
        <x:v>Overleaf 协作桥接</x:v>
      </x:c>
      <x:c r="E15" s="19" t="str">
        <x:v>把 Overleaf 项目接入本地论文检查和修改流程。</x:v>
      </x:c>
      <x:c r="F15" s="19" t="str">
        <x:v>https://github.com/ShaishavMaisuria/research-paper-lifecycle-skills/blob/main/skills/work-with-overleaf/SKILL.md</x:v>
      </x:c>
      <x:c r="G15" s="19" t="str">
        <x:v>ShaishavMaisuria/research-paper-lifecycle-skills</x:v>
      </x:c>
      <x:c r="H15" s="19" t="str">
        <x:v>https://github.com/ShaishavMaisuria/research-paper-lifecycle-skills</x:v>
      </x:c>
      <x:c r="I15" s="19" t="str">
        <x:v>Agent Skills</x:v>
      </x:c>
      <x:c r="J15" s="19" t="str">
        <x:v>社区 skill、开源仓库</x:v>
      </x:c>
      <x:c r="K15" s="19" t="str">
        <x:v>Overleaf、LaTeX、同步、Git、ZIP</x:v>
      </x:c>
      <x:c r="L15" s="19" t="str">
        <x:v>科研人员、研究生</x:v>
      </x:c>
      <x:c r="M15" s="19" t="str">
        <x:v>课题组 Overleaf 稿件本地预检、同步修改</x:v>
      </x:c>
      <x:c r="N15" s="21" t="str">
        <x:v>B</x:v>
      </x:c>
      <x:c r="O15" s="19" t="str">
        <x:v>根据账号权限选择同步路径；所有回写都要求单独确认。</x:v>
      </x:c>
      <x:c r="P15" s="19" t="str">
        <x:v>Overleaf 账号；可选 Git 权限或 ZIP</x:v>
      </x:c>
      <x:c r="Q15" s="19" t="str">
        <x:v>令牌与未发表稿件敏感；错误同步可能覆盖协作内容。</x:v>
      </x:c>
      <x:c r="R15" s="21" t="str">
        <x:v>说明已核验</x:v>
      </x:c>
      <x:c r="S15" s="21" t="str">
        <x:v>中</x:v>
      </x:c>
      <x:c r="T15" s="20" t="n">
        <x:v>21</x:v>
      </x:c>
      <x:c r="U15" s="20" t="str">
        <x:v>2026-06-27</x:v>
      </x:c>
      <x:c r="V15" s="18" t="str">
        <x:v>Apache-2.0</x:v>
      </x:c>
    </x:row>
    <x:row r="16" ht="58" customHeight="1">
      <x:c r="A16" s="20" t="n">
        <x:v>12</x:v>
      </x:c>
      <x:c r="B16" s="20" t="str">
        <x:v>GH-01-0012</x:v>
      </x:c>
      <x:c r="C16" s="19" t="str">
        <x:v>write-rebuttal</x:v>
      </x:c>
      <x:c r="D16" s="19" t="str">
        <x:v>审稿意见回复与 rebuttal</x:v>
      </x:c>
      <x:c r="E16" s="19" t="str">
        <x:v>按会场格式起草逐点审稿回复和 rebuttal。</x:v>
      </x:c>
      <x:c r="F16" s="19" t="str">
        <x:v>https://github.com/ShaishavMaisuria/research-paper-lifecycle-skills/blob/main/skills/write-rebuttal/SKILL.md</x:v>
      </x:c>
      <x:c r="G16" s="19" t="str">
        <x:v>ShaishavMaisuria/research-paper-lifecycle-skills</x:v>
      </x:c>
      <x:c r="H16" s="19" t="str">
        <x:v>https://github.com/ShaishavMaisuria/research-paper-lifecycle-skills</x:v>
      </x:c>
      <x:c r="I16" s="19" t="str">
        <x:v>Agent Skills</x:v>
      </x:c>
      <x:c r="J16" s="19" t="str">
        <x:v>社区 skill、开源仓库</x:v>
      </x:c>
      <x:c r="K16" s="19" t="str">
        <x:v>rebuttal、作者回复、字符预算、修订说明</x:v>
      </x:c>
      <x:c r="L16" s="19" t="str">
        <x:v>科研人员、研究生</x:v>
      </x:c>
      <x:c r="M16" s="19" t="str">
        <x:v>会议 rebuttal、期刊修回说明、审稿意见覆盖检查</x:v>
      </x:c>
      <x:c r="N16" s="21" t="str">
        <x:v>B</x:v>
      </x:c>
      <x:c r="O16" s="19" t="str">
        <x:v>替换会场配置并保留作者逐条批准。</x:v>
      </x:c>
      <x:c r="P16" s="19" t="str">
        <x:v>目标会场规则；可选字符与页面检查脚本</x:v>
      </x:c>
      <x:c r="Q16" s="19" t="str">
        <x:v>审稿内容可能保密；不能虚构新增实验或改动。</x:v>
      </x:c>
      <x:c r="R16" s="21" t="str">
        <x:v>说明已核验</x:v>
      </x:c>
      <x:c r="S16" s="21" t="str">
        <x:v>高</x:v>
      </x:c>
      <x:c r="T16" s="20" t="n">
        <x:v>21</x:v>
      </x:c>
      <x:c r="U16" s="20" t="str">
        <x:v>2026-06-27</x:v>
      </x:c>
      <x:c r="V16" s="18" t="str">
        <x:v>Apache-2.0</x:v>
      </x:c>
    </x:row>
    <x:row r="17" ht="58" customHeight="1">
      <x:c r="A17" s="20" t="n">
        <x:v>13</x:v>
      </x:c>
      <x:c r="B17" s="20" t="str">
        <x:v>GH-01-0013</x:v>
      </x:c>
      <x:c r="C17" s="19" t="str">
        <x:v>polish-prose</x:v>
      </x:c>
      <x:c r="D17" s="19" t="str">
        <x:v>学术语言精炼</x:v>
      </x:c>
      <x:c r="E17" s="19" t="str">
        <x:v>在不改变技术主张的前提下收紧并统一学术表达。</x:v>
      </x:c>
      <x:c r="F17" s="19" t="str">
        <x:v>https://github.com/ShaishavMaisuria/research-paper-lifecycle-skills/blob/main/skills/polish-prose/SKILL.md</x:v>
      </x:c>
      <x:c r="G17" s="19" t="str">
        <x:v>ShaishavMaisuria/research-paper-lifecycle-skills</x:v>
      </x:c>
      <x:c r="H17" s="19" t="str">
        <x:v>https://github.com/ShaishavMaisuria/research-paper-lifecycle-skills</x:v>
      </x:c>
      <x:c r="I17" s="19" t="str">
        <x:v>Agent Skills</x:v>
      </x:c>
      <x:c r="J17" s="19" t="str">
        <x:v>社区 skill、开源仓库</x:v>
      </x:c>
      <x:c r="K17" s="19" t="str">
        <x:v>语言润色、术语一致、冗余、AI 痕迹</x:v>
      </x:c>
      <x:c r="L17" s="19" t="str">
        <x:v>科研人员、研究生、教学人员</x:v>
      </x:c>
      <x:c r="M17" s="19" t="str">
        <x:v>英文论文润色、术语统一、投稿前文字检查</x:v>
      </x:c>
      <x:c r="N17" s="21" t="str">
        <x:v>B</x:v>
      </x:c>
      <x:c r="O17" s="19" t="str">
        <x:v>保留原始数值、引文与术语锁定；脚本可直接复用。</x:v>
      </x:c>
      <x:c r="P17" s="19" t="str">
        <x:v>Python 标准库脚本</x:v>
      </x:c>
      <x:c r="Q17" s="19" t="str">
        <x:v>过度润色可能改变论证强度，应进行差异复核。</x:v>
      </x:c>
      <x:c r="R17" s="21" t="str">
        <x:v>说明已核验</x:v>
      </x:c>
      <x:c r="S17" s="21" t="str">
        <x:v>高</x:v>
      </x:c>
      <x:c r="T17" s="20" t="n">
        <x:v>21</x:v>
      </x:c>
      <x:c r="U17" s="20" t="str">
        <x:v>2026-06-27</x:v>
      </x:c>
      <x:c r="V17" s="18" t="str">
        <x:v>Apache-2.0</x:v>
      </x:c>
    </x:row>
    <x:row r="18" ht="58" customHeight="1">
      <x:c r="A18" s="20" t="n">
        <x:v>14</x:v>
      </x:c>
      <x:c r="B18" s="20" t="str">
        <x:v>GH-01-0014</x:v>
      </x:c>
      <x:c r="C18" s="19" t="str">
        <x:v>research-writing-skill</x:v>
      </x:c>
      <x:c r="D18" s="19" t="str">
        <x:v>中文科研写作工作流</x:v>
      </x:c>
      <x:c r="E18" s="19" t="str">
        <x:v>面向中文科研用户的论文写作、修订和论证规划。</x:v>
      </x:c>
      <x:c r="F18" s="19" t="str">
        <x:v>https://github.com/zLanqing/codex-claude-academic-skills/blob/main/research-writing-skill/SKILL.md</x:v>
      </x:c>
      <x:c r="G18" s="19" t="str">
        <x:v>zLanqing/codex-claude-academic-skills</x:v>
      </x:c>
      <x:c r="H18" s="19" t="str">
        <x:v>https://github.com/zLanqing/codex-claude-academic-skills</x:v>
      </x:c>
      <x:c r="I18" s="19" t="str">
        <x:v>OpenAI Codex、Anthropic Claude Code</x:v>
      </x:c>
      <x:c r="J18" s="19" t="str">
        <x:v>社区 skill、开源仓库</x:v>
      </x:c>
      <x:c r="K18" s="19" t="str">
        <x:v>中文科研写作、章节模板、润色、审稿回复</x:v>
      </x:c>
      <x:c r="L18" s="19" t="str">
        <x:v>学生、科研人员、教学人员</x:v>
      </x:c>
      <x:c r="M18" s="19" t="str">
        <x:v>中文论文辅写、英文术语保真、学位论文和回复信</x:v>
      </x:c>
      <x:c r="N18" s="21" t="str">
        <x:v>A</x:v>
      </x:c>
      <x:c r="O18" s="19" t="str">
        <x:v>可直接使用；按学校写作规范补充模板。</x:v>
      </x:c>
      <x:c r="P18" s="19" t="str">
        <x:v>无明确外部依赖</x:v>
      </x:c>
      <x:c r="Q18" s="19" t="str">
        <x:v>仍需作者提供事实、数据和引用证据。</x:v>
      </x:c>
      <x:c r="R18" s="21" t="str">
        <x:v>二级包内容验证</x:v>
      </x:c>
      <x:c r="S18" s="21" t="str">
        <x:v>高</x:v>
      </x:c>
      <x:c r="T18" s="20" t="n">
        <x:v>2613</x:v>
      </x:c>
      <x:c r="U18" s="20" t="str">
        <x:v>2026-05-14</x:v>
      </x:c>
      <x:c r="V18" s="18" t="str">
        <x:v>MIT</x:v>
      </x:c>
    </x:row>
    <x:row r="19" ht="58" customHeight="1">
      <x:c r="A19" s="20" t="n">
        <x:v>15</x:v>
      </x:c>
      <x:c r="B19" s="20" t="str">
        <x:v>GH-01-0015</x:v>
      </x:c>
      <x:c r="C19" s="19" t="str">
        <x:v>paper-writing</x:v>
      </x:c>
      <x:c r="D19" s="19" t="str">
        <x:v>IMRaD 科学论文写作</x:v>
      </x:c>
      <x:c r="E19" s="19" t="str">
        <x:v>按照 IMRaD 结构辅助起草和改进科学论文。</x:v>
      </x:c>
      <x:c r="F19" s="19" t="str">
        <x:v>https://github.com/beita6969/ScienceClaw/blob/main/skills/paper-writing/SKILL.md</x:v>
      </x:c>
      <x:c r="G19" s="19" t="str">
        <x:v>beita6969/ScienceClaw</x:v>
      </x:c>
      <x:c r="H19" s="19" t="str">
        <x:v>https://github.com/beita6969/ScienceClaw</x:v>
      </x:c>
      <x:c r="I19" s="19" t="str">
        <x:v>其他明确命名生态（OpenClaw）</x:v>
      </x:c>
      <x:c r="J19" s="19" t="str">
        <x:v>社区 skill、开源仓库</x:v>
      </x:c>
      <x:c r="K19" s="19" t="str">
        <x:v>IMRaD、论文结构、引文、章节写作</x:v>
      </x:c>
      <x:c r="L19" s="19" t="str">
        <x:v>学生、科研人员</x:v>
      </x:c>
      <x:c r="M19" s="19" t="str">
        <x:v>初稿结构搭建、课程论文和实验论文章节检查</x:v>
      </x:c>
      <x:c r="N19" s="21" t="str">
        <x:v>B</x:v>
      </x:c>
      <x:c r="O19" s="19" t="str">
        <x:v>移除 OpenClaw 特定路由并接入本项目引文验证规则。</x:v>
      </x:c>
      <x:c r="P19" s="19" t="str">
        <x:v>无明确外部依赖</x:v>
      </x:c>
      <x:c r="Q19" s="19" t="str">
        <x:v>框架较通用，不能替代学科报告规范。</x:v>
      </x:c>
      <x:c r="R19" s="21" t="str">
        <x:v>说明已核验</x:v>
      </x:c>
      <x:c r="S19" s="21" t="str">
        <x:v>中</x:v>
      </x:c>
      <x:c r="T19" s="20" t="n">
        <x:v>872</x:v>
      </x:c>
      <x:c r="U19" s="20" t="str">
        <x:v>2026-06-08</x:v>
      </x:c>
      <x:c r="V19" s="18" t="str">
        <x:v>MIT</x:v>
      </x:c>
    </x:row>
    <x:row r="20" ht="58" customHeight="1">
      <x:c r="A20" s="20" t="n">
        <x:v>16</x:v>
      </x:c>
      <x:c r="B20" s="20" t="str">
        <x:v>GH-01-0016</x:v>
      </x:c>
      <x:c r="C20" s="19" t="str">
        <x:v>latex-writing</x:v>
      </x:c>
      <x:c r="D20" s="19" t="str">
        <x:v>学术 LaTeX 写作</x:v>
      </x:c>
      <x:c r="E20" s="19" t="str">
        <x:v>为学术期刊和会议编写、格式化 LaTeX 文档。</x:v>
      </x:c>
      <x:c r="F20" s="19" t="str">
        <x:v>https://github.com/beita6969/ScienceClaw/blob/main/skills/latex-writing/SKILL.md</x:v>
      </x:c>
      <x:c r="G20" s="19" t="str">
        <x:v>beita6969/ScienceClaw</x:v>
      </x:c>
      <x:c r="H20" s="19" t="str">
        <x:v>https://github.com/beita6969/ScienceClaw</x:v>
      </x:c>
      <x:c r="I20" s="19" t="str">
        <x:v>其他明确命名生态（OpenClaw）</x:v>
      </x:c>
      <x:c r="J20" s="19" t="str">
        <x:v>社区 skill、开源仓库</x:v>
      </x:c>
      <x:c r="K20" s="19" t="str">
        <x:v>LaTeX、期刊格式、公式、表格、BibTeX</x:v>
      </x:c>
      <x:c r="L20" s="19" t="str">
        <x:v>学生、科研人员</x:v>
      </x:c>
      <x:c r="M20" s="19" t="str">
        <x:v>论文 LaTeX 排版、复杂公式表格、期刊格式迁移</x:v>
      </x:c>
      <x:c r="N20" s="21" t="str">
        <x:v>B</x:v>
      </x:c>
      <x:c r="O20" s="19" t="str">
        <x:v>把内置示例作为起点，投稿前仍从官方模板核验。</x:v>
      </x:c>
      <x:c r="P20" s="19" t="str">
        <x:v>LaTeX 工具链</x:v>
      </x:c>
      <x:c r="Q20" s="19" t="str">
        <x:v>内置模板可能过时；编译结果需检查。</x:v>
      </x:c>
      <x:c r="R20" s="21" t="str">
        <x:v>说明已核验</x:v>
      </x:c>
      <x:c r="S20" s="21" t="str">
        <x:v>中</x:v>
      </x:c>
      <x:c r="T20" s="20" t="n">
        <x:v>872</x:v>
      </x:c>
      <x:c r="U20" s="20" t="str">
        <x:v>2026-06-08</x:v>
      </x:c>
      <x:c r="V20" s="18" t="str">
        <x:v>MIT</x:v>
      </x:c>
    </x:row>
    <x:row r="21" ht="58" customHeight="1">
      <x:c r="A21" s="20" t="n">
        <x:v>17</x:v>
      </x:c>
      <x:c r="B21" s="20" t="str">
        <x:v>GH-01-0017</x:v>
      </x:c>
      <x:c r="C21" s="19" t="str">
        <x:v>peer-review</x:v>
      </x:c>
      <x:c r="D21" s="19" t="str">
        <x:v>结构化同行评审</x:v>
      </x:c>
      <x:c r="E21" s="19" t="str">
        <x:v>按期刊式结构评审科学手稿并生成建设性意见。</x:v>
      </x:c>
      <x:c r="F21" s="19" t="str">
        <x:v>https://github.com/beita6969/ScienceClaw/blob/main/skills/peer-review/SKILL.md</x:v>
      </x:c>
      <x:c r="G21" s="19" t="str">
        <x:v>beita6969/ScienceClaw</x:v>
      </x:c>
      <x:c r="H21" s="19" t="str">
        <x:v>https://github.com/beita6969/ScienceClaw</x:v>
      </x:c>
      <x:c r="I21" s="19" t="str">
        <x:v>其他明确命名生态（OpenClaw）</x:v>
      </x:c>
      <x:c r="J21" s="19" t="str">
        <x:v>社区 skill、开源仓库</x:v>
      </x:c>
      <x:c r="K21" s="19" t="str">
        <x:v>同行评审、方法审查、统计评估、反馈</x:v>
      </x:c>
      <x:c r="L21" s="19" t="str">
        <x:v>科研人员、教学人员、研究生</x:v>
      </x:c>
      <x:c r="M21" s="19" t="str">
        <x:v>组内预审、投稿前模拟评审、论文阅读训练</x:v>
      </x:c>
      <x:c r="N21" s="21" t="str">
        <x:v>B</x:v>
      </x:c>
      <x:c r="O21" s="19" t="str">
        <x:v>调整工具名称即可使用；应与统计和引文核验技能协同。</x:v>
      </x:c>
      <x:c r="P21" s="19" t="str">
        <x:v>无明确外部依赖</x:v>
      </x:c>
      <x:c r="Q21" s="19" t="str">
        <x:v>评审结论只是辅助意见，不能替代领域专家。</x:v>
      </x:c>
      <x:c r="R21" s="21" t="str">
        <x:v>说明已核验</x:v>
      </x:c>
      <x:c r="S21" s="21" t="str">
        <x:v>中</x:v>
      </x:c>
      <x:c r="T21" s="20" t="n">
        <x:v>872</x:v>
      </x:c>
      <x:c r="U21" s="20" t="str">
        <x:v>2026-06-08</x:v>
      </x:c>
      <x:c r="V21" s="18" t="str">
        <x:v>MIT</x:v>
      </x:c>
    </x:row>
    <x:row r="22" ht="58" customHeight="1">
      <x:c r="A22" s="20" t="n">
        <x:v>18</x:v>
      </x:c>
      <x:c r="B22" s="20" t="str">
        <x:v>GH-01-0018</x:v>
      </x:c>
      <x:c r="C22" s="19" t="str">
        <x:v>composition-skills</x:v>
      </x:c>
      <x:c r="D22" s="19" t="str">
        <x:v>学术章节写作技能组</x:v>
      </x:c>
      <x:c r="E22" s="19" t="str">
        <x:v>聚合九项学术写作子技能，按章节提供模板和论证指导。</x:v>
      </x:c>
      <x:c r="F22" s="19" t="str">
        <x:v>https://github.com/wentorai/research-plugins/blob/main/skills/writing/composition/SKILL.md</x:v>
      </x:c>
      <x:c r="G22" s="19" t="str">
        <x:v>wentorai/research-plugins</x:v>
      </x:c>
      <x:c r="H22" s="19" t="str">
        <x:v>https://github.com/wentorai/research-plugins</x:v>
      </x:c>
      <x:c r="I22" s="19" t="str">
        <x:v>其他明确命名生态（Research-Claw）</x:v>
      </x:c>
      <x:c r="J22" s="19" t="str">
        <x:v>社区 skill、开源仓库、可移植工作流</x:v>
      </x:c>
      <x:c r="K22" s="19" t="str">
        <x:v>摘要、引言、方法、讨论、章节模板</x:v>
      </x:c>
      <x:c r="L22" s="19" t="str">
        <x:v>学生、科研人员</x:v>
      </x:c>
      <x:c r="M22" s="19" t="str">
        <x:v>论文分章节写作、知识库按需调用</x:v>
      </x:c>
      <x:c r="N22" s="21" t="str">
        <x:v>B</x:v>
      </x:c>
      <x:c r="O22" s="19" t="str">
        <x:v>将子技能路径映射到 Codex skill 目录；优先加载所需章节。</x:v>
      </x:c>
      <x:c r="P22" s="19" t="str">
        <x:v>同仓库多个子技能</x:v>
      </x:c>
      <x:c r="Q22" s="19" t="str">
        <x:v>聚合仓库规模大，需防止加载无关内容。</x:v>
      </x:c>
      <x:c r="R22" s="21" t="str">
        <x:v>说明已核验</x:v>
      </x:c>
      <x:c r="S22" s="21" t="str">
        <x:v>中</x:v>
      </x:c>
      <x:c r="T22" s="20" t="n">
        <x:v>270</x:v>
      </x:c>
      <x:c r="U22" s="20" t="str">
        <x:v>2026-06-19</x:v>
      </x:c>
      <x:c r="V22" s="18" t="str">
        <x:v>MIT</x:v>
      </x:c>
    </x:row>
    <x:row r="23" ht="58" customHeight="1">
      <x:c r="A23" s="20" t="n">
        <x:v>19</x:v>
      </x:c>
      <x:c r="B23" s="20" t="str">
        <x:v>GH-01-0019</x:v>
      </x:c>
      <x:c r="C23" s="19" t="str">
        <x:v>peer-review-assistant</x:v>
      </x:c>
      <x:c r="D23" s="19" t="str">
        <x:v>证据检索型预审助手</x:v>
      </x:c>
      <x:c r="E23" s="19" t="str">
        <x:v>结合文献搜索检查手稿背景主张、遗漏引用和方法时效性。</x:v>
      </x:c>
      <x:c r="F23" s="19" t="str">
        <x:v>https://github.com/stephenturner/skill-peer-review-assistant/blob/main/SKILL.md</x:v>
      </x:c>
      <x:c r="G23" s="19" t="str">
        <x:v>stephenturner/skill-peer-review-assistant</x:v>
      </x:c>
      <x:c r="H23" s="19" t="str">
        <x:v>https://github.com/stephenturner/skill-peer-review-assistant</x:v>
      </x:c>
      <x:c r="I23" s="19" t="str">
        <x:v>Anthropic Claude Code / Agent Skills</x:v>
      </x:c>
      <x:c r="J23" s="19" t="str">
        <x:v>社区 skill、开源仓库</x:v>
      </x:c>
      <x:c r="K23" s="19" t="str">
        <x:v>同行评审、Consensus、背景主张、遗漏文献</x:v>
      </x:c>
      <x:c r="L23" s="19" t="str">
        <x:v>科研人员、研究生</x:v>
      </x:c>
      <x:c r="M23" s="19" t="str">
        <x:v>投稿前预审、背景引用补充、方法是否过时的检查</x:v>
      </x:c>
      <x:c r="N23" s="21" t="str">
        <x:v>C</x:v>
      </x:c>
      <x:c r="O23" s="19" t="str">
        <x:v>需将 Consensus 搜索替换为可用学术数据库或 MCP。</x:v>
      </x:c>
      <x:c r="P23" s="19" t="str">
        <x:v>Consensus 搜索服务</x:v>
      </x:c>
      <x:c r="Q23" s="19" t="str">
        <x:v>依赖外部检索结果；不能将摘要匹配等同于完整证据核验。</x:v>
      </x:c>
      <x:c r="R23" s="21" t="str">
        <x:v>说明已核验</x:v>
      </x:c>
      <x:c r="S23" s="21" t="str">
        <x:v>中</x:v>
      </x:c>
      <x:c r="T23" s="20" t="n">
        <x:v>33</x:v>
      </x:c>
      <x:c r="U23" s="20" t="str">
        <x:v>2026-06-30</x:v>
      </x:c>
      <x:c r="V23" s="18" t="str">
        <x:v>MIT</x:v>
      </x:c>
    </x:row>
  </x:sheetData>
  <x:mergeCells>
    <x:mergeCell ref="A1:V1"/>
    <x:mergeCell ref="A2:V2"/>
  </x:mergeCells>
  <x:conditionalFormatting sqref="N5:N23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</x:conditionalFormatting>
  <x:conditionalFormatting sqref="S5:S23">
    <x:cfRule type="cellIs" dxfId="3" priority="4" operator="equal">
      <x:formula>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22251f26334b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6" max="6" width="46" hidden="0" customWidth="1"/>
    <x:col min="7" max="7" width="12" hidden="0" customWidth="1"/>
  </x:cols>
  <x:sheetData>
    <x:row r="1">
      <x:c r="A1" s="16" t="str">
        <x:v>学术写作、引用与出版｜结构统计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3">
      <x:c r="A3" s="9" t="str">
        <x:v>核心指标</x:v>
      </x:c>
      <x:c r="B3" s="9" t="str">
        <x:v>数量</x:v>
      </x:c>
      <x:c r="F3" s="9" t="str">
        <x:v>独立标注的生态</x:v>
      </x:c>
      <x:c r="G3" s="9" t="str">
        <x:v>数量</x:v>
      </x:c>
    </x:row>
    <x:row r="4">
      <x:c r="A4" s="10" t="str">
        <x:v>入选Skill</x:v>
      </x:c>
      <x:c r="B4" s="22" t="n">
        <x:f>COUNTA('Skill总表'!$B$5:$B$23)</x:f>
        <x:v>19</x:v>
      </x:c>
      <x:c r="F4" s="10" t="str">
        <x:v>Agent Skills</x:v>
      </x:c>
      <x:c r="G4" s="22" t="n">
        <x:f>COUNTIF('Skill总表'!$I$5:$I$23,F4)</x:f>
        <x:v>9</x:v>
      </x:c>
    </x:row>
    <x:row r="5">
      <x:c r="A5" s="10" t="str">
        <x:v>优先级：高</x:v>
      </x:c>
      <x:c r="B5" s="22" t="n">
        <x:f>COUNTIF('Skill总表'!$S$5:$S$23,"高")</x:f>
        <x:v>11</x:v>
      </x:c>
      <x:c r="F5" s="10" t="str">
        <x:v>Agent Skills（兼容 Codex）</x:v>
      </x:c>
      <x:c r="G5" s="22" t="n">
        <x:f>COUNTIF('Skill总表'!$I$5:$I$23,F5)</x:f>
        <x:v>4</x:v>
      </x:c>
    </x:row>
    <x:row r="6">
      <x:c r="A6" s="10" t="str">
        <x:v>优先级：中</x:v>
      </x:c>
      <x:c r="B6" s="22" t="n">
        <x:f>COUNTIF('Skill总表'!$S$5:$S$23,"中")</x:f>
        <x:v>8</x:v>
      </x:c>
      <x:c r="F6" s="10" t="str">
        <x:v>Anthropic Claude Code / Agent Skills</x:v>
      </x:c>
      <x:c r="G6" s="22" t="n">
        <x:f>COUNTIF('Skill总表'!$I$5:$I$23,F6)</x:f>
        <x:v>1</x:v>
      </x:c>
    </x:row>
    <x:row r="7">
      <x:c r="A7" s="10" t="str">
        <x:v>二级包内容验证</x:v>
      </x:c>
      <x:c r="B7" s="22" t="n">
        <x:f>COUNTIF('Skill总表'!$R$5:$R$23,"二级包内容验证")</x:f>
        <x:v>4</x:v>
      </x:c>
      <x:c r="F7" s="10" t="str">
        <x:v>OpenAI Codex、Anthropic Claude Code</x:v>
      </x:c>
      <x:c r="G7" s="22" t="n">
        <x:f>COUNTIF('Skill总表'!$I$5:$I$23,F7)</x:f>
        <x:v>1</x:v>
      </x:c>
    </x:row>
    <x:row r="8">
      <x:c r="A8" s="10" t="str">
        <x:v>说明已核验</x:v>
      </x:c>
      <x:c r="B8" s="22" t="n">
        <x:f>COUNTIF('Skill总表'!$R$5:$R$23,"说明已核验")</x:f>
        <x:v>15</x:v>
      </x:c>
      <x:c r="F8" s="10" t="str">
        <x:v>其他明确命名生态（OpenClaw）</x:v>
      </x:c>
      <x:c r="G8" s="22" t="n">
        <x:f>COUNTIF('Skill总表'!$I$5:$I$23,F8)</x:f>
        <x:v>3</x:v>
      </x:c>
    </x:row>
    <x:row r="9">
      <x:c r="A9" s="10" t="str">
        <x:v>独立仓库</x:v>
      </x:c>
      <x:c r="B9" s="22" t="n">
        <x:f>COUNTA('来源清单'!$A$5:$A$10)</x:f>
        <x:v>6</x:v>
      </x:c>
      <x:c r="F9" s="10" t="str">
        <x:v>其他明确命名生态（Research-Claw）</x:v>
      </x:c>
      <x:c r="G9" s="22" t="n">
        <x:f>COUNTIF('Skill总表'!$I$5:$I$23,F9)</x:f>
        <x:v>1</x:v>
      </x:c>
    </x:row>
    <x:row r="10">
      <x:c r="B10" s="23"/>
    </x:row>
    <x:row r="11">
      <x:c r="B11" s="23"/>
    </x:row>
    <x:row r="12">
      <x:c r="A12" s="9" t="str">
        <x:v>兼容等级</x:v>
      </x:c>
      <x:c r="B12" s="24" t="str">
        <x:v>数量</x:v>
      </x:c>
    </x:row>
    <x:row r="13">
      <x:c r="A13" s="10" t="str">
        <x:v>A</x:v>
      </x:c>
      <x:c r="B13" s="22" t="n">
        <x:f>COUNTIF('Skill总表'!$N$5:$N$23,"A")</x:f>
        <x:v>4</x:v>
      </x:c>
    </x:row>
    <x:row r="14">
      <x:c r="A14" s="10" t="str">
        <x:v>B</x:v>
      </x:c>
      <x:c r="B14" s="22" t="n">
        <x:f>COUNTIF('Skill总表'!$N$5:$N$23,"B")</x:f>
        <x:v>14</x:v>
      </x:c>
    </x:row>
    <x:row r="15">
      <x:c r="A15" s="10" t="str">
        <x:v>C</x:v>
      </x:c>
      <x:c r="B15" s="22" t="n">
        <x:f>COUNTIF('Skill总表'!$N$5:$N$23,"C")</x:f>
        <x:v>1</x:v>
      </x:c>
    </x:row>
    <x:row r="16">
      <x:c r="A16" s="10" t="str">
        <x:v>D</x:v>
      </x:c>
      <x:c r="B16" s="22" t="n">
        <x:f>COUNTIF('Skill总表'!$N$5:$N$23,"D")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45bba129b2b1410f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0" hidden="0" customWidth="1"/>
    <x:col min="3" max="3" width="12" hidden="0" customWidth="1"/>
    <x:col min="4" max="4" width="15" hidden="0" customWidth="1"/>
    <x:col min="5" max="5" width="22" hidden="0" customWidth="1"/>
    <x:col min="6" max="6" width="14" hidden="0" customWidth="1"/>
    <x:col min="7" max="7" width="34" hidden="0" customWidth="1"/>
  </x:cols>
  <x:sheetData>
    <x:row r="1">
      <x:c r="A1" s="16" t="str">
        <x:v>学术写作、引用与出版｜GitHub 来源清单</x:v>
      </x:c>
      <x:c r="B1" s="16"/>
      <x:c r="C1" s="16"/>
      <x:c r="D1" s="16"/>
      <x:c r="E1" s="16"/>
      <x:c r="F1" s="16"/>
      <x:c r="G1" s="16"/>
    </x:row>
    <x:row r="2">
      <x:c r="A2" s="5" t="str">
        <x:v>同一仓库可能包含多个入选 skill；许可证需以具体目录和当前仓库文件为准。</x:v>
      </x:c>
      <x:c r="B2" s="5"/>
      <x:c r="C2" s="5"/>
      <x:c r="D2" s="5"/>
      <x:c r="E2" s="5"/>
      <x:c r="F2" s="5"/>
      <x:c r="G2" s="5"/>
    </x:row>
    <x:row r="4">
      <x:c r="A4" s="15" t="str">
        <x:v>GitHub仓库</x:v>
      </x:c>
      <x:c r="B4" s="15" t="str">
        <x:v>仓库地址</x:v>
      </x:c>
      <x:c r="C4" s="15" t="str">
        <x:v>Stars</x:v>
      </x:c>
      <x:c r="D4" s="15" t="str">
        <x:v>最近推送</x:v>
      </x:c>
      <x:c r="E4" s="15" t="str">
        <x:v>许可证</x:v>
      </x:c>
      <x:c r="F4" s="15" t="str">
        <x:v>入选Skill数</x:v>
      </x:c>
      <x:c r="G4" s="15" t="str">
        <x:v>来源形态</x:v>
      </x:c>
    </x:row>
    <x:row r="5">
      <x:c r="A5" s="19" t="str">
        <x:v>K-Dense-AI/scientific-agent-skills</x:v>
      </x:c>
      <x:c r="B5" s="19" t="str">
        <x:v>https://github.com/K-Dense-AI/scientific-agent-skills</x:v>
      </x:c>
      <x:c r="C5" s="19" t="n">
        <x:v>32811</x:v>
      </x:c>
      <x:c r="D5" s="19" t="str">
        <x:v>2026-08-03</x:v>
      </x:c>
      <x:c r="E5" s="19" t="str">
        <x:v>MIT</x:v>
      </x:c>
      <x:c r="F5" s="19" t="n">
        <x:f>COUNTIF('Skill总表'!$G$5:$G$23,A5)</x:f>
        <x:v>4</x:v>
      </x:c>
      <x:c r="G5" s="19" t="str">
        <x:v>社区 skill、开源仓库</x:v>
      </x:c>
    </x:row>
    <x:row r="6">
      <x:c r="A6" s="19" t="str">
        <x:v>ShaishavMaisuria/research-paper-lifecycle-skills</x:v>
      </x:c>
      <x:c r="B6" s="19" t="str">
        <x:v>https://github.com/ShaishavMaisuria/research-paper-lifecycle-skills</x:v>
      </x:c>
      <x:c r="C6" s="19" t="n">
        <x:v>21</x:v>
      </x:c>
      <x:c r="D6" s="19" t="str">
        <x:v>2026-06-27</x:v>
      </x:c>
      <x:c r="E6" s="19" t="str">
        <x:v>Apache-2.0</x:v>
      </x:c>
      <x:c r="F6" s="19" t="n">
        <x:f>COUNTIF('Skill总表'!$G$5:$G$23,A6)</x:f>
        <x:v>9</x:v>
      </x:c>
      <x:c r="G6" s="19" t="str">
        <x:v>社区 skill、开源仓库</x:v>
      </x:c>
    </x:row>
    <x:row r="7">
      <x:c r="A7" s="19" t="str">
        <x:v>beita6969/ScienceClaw</x:v>
      </x:c>
      <x:c r="B7" s="19" t="str">
        <x:v>https://github.com/beita6969/ScienceClaw</x:v>
      </x:c>
      <x:c r="C7" s="19" t="n">
        <x:v>872</x:v>
      </x:c>
      <x:c r="D7" s="19" t="str">
        <x:v>2026-06-08</x:v>
      </x:c>
      <x:c r="E7" s="19" t="str">
        <x:v>MIT</x:v>
      </x:c>
      <x:c r="F7" s="19" t="n">
        <x:f>COUNTIF('Skill总表'!$G$5:$G$23,A7)</x:f>
        <x:v>3</x:v>
      </x:c>
      <x:c r="G7" s="19" t="str">
        <x:v>社区 skill、开源仓库</x:v>
      </x:c>
    </x:row>
    <x:row r="8">
      <x:c r="A8" s="19" t="str">
        <x:v>stephenturner/skill-peer-review-assistant</x:v>
      </x:c>
      <x:c r="B8" s="19" t="str">
        <x:v>https://github.com/stephenturner/skill-peer-review-assistant</x:v>
      </x:c>
      <x:c r="C8" s="19" t="n">
        <x:v>33</x:v>
      </x:c>
      <x:c r="D8" s="19" t="str">
        <x:v>2026-06-30</x:v>
      </x:c>
      <x:c r="E8" s="19" t="str">
        <x:v>MIT</x:v>
      </x:c>
      <x:c r="F8" s="19" t="n">
        <x:f>COUNTIF('Skill总表'!$G$5:$G$23,A8)</x:f>
        <x:v>1</x:v>
      </x:c>
      <x:c r="G8" s="19" t="str">
        <x:v>社区 skill、开源仓库</x:v>
      </x:c>
    </x:row>
    <x:row r="9">
      <x:c r="A9" s="19" t="str">
        <x:v>wentorai/research-plugins</x:v>
      </x:c>
      <x:c r="B9" s="19" t="str">
        <x:v>https://github.com/wentorai/research-plugins</x:v>
      </x:c>
      <x:c r="C9" s="19" t="n">
        <x:v>270</x:v>
      </x:c>
      <x:c r="D9" s="19" t="str">
        <x:v>2026-06-19</x:v>
      </x:c>
      <x:c r="E9" s="19" t="str">
        <x:v>MIT</x:v>
      </x:c>
      <x:c r="F9" s="19" t="n">
        <x:f>COUNTIF('Skill总表'!$G$5:$G$23,A9)</x:f>
        <x:v>1</x:v>
      </x:c>
      <x:c r="G9" s="19" t="str">
        <x:v>社区 skill、开源仓库、可移植工作流</x:v>
      </x:c>
    </x:row>
    <x:row r="10">
      <x:c r="A10" s="19" t="str">
        <x:v>zLanqing/codex-claude-academic-skills</x:v>
      </x:c>
      <x:c r="B10" s="19" t="str">
        <x:v>https://github.com/zLanqing/codex-claude-academic-skills</x:v>
      </x:c>
      <x:c r="C10" s="19" t="n">
        <x:v>2613</x:v>
      </x:c>
      <x:c r="D10" s="19" t="str">
        <x:v>2026-05-14</x:v>
      </x:c>
      <x:c r="E10" s="19" t="str">
        <x:v>MIT</x:v>
      </x:c>
      <x:c r="F10" s="19" t="n">
        <x:f>COUNTIF('Skill总表'!$G$5:$G$23,A10)</x:f>
        <x:v>1</x:v>
      </x:c>
      <x:c r="G10" s="19" t="str">
        <x:v>社区 skill、开源仓库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ccf77050f944a76"/>
  </x:tableParts>
</x:worksheet>
</file>