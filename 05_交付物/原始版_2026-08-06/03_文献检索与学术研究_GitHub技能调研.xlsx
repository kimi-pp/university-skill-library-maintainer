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10ed3d885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6dc2dcaef6c40c7"/>
    <x:sheet xmlns:r="http://schemas.openxmlformats.org/officeDocument/2006/relationships" name="Skill总表" sheetId="2" r:id="R0275b4b55d4a493e"/>
    <x:sheet xmlns:r="http://schemas.openxmlformats.org/officeDocument/2006/relationships" name="分类统计" sheetId="3" r:id="Rd9a5a8169b304fd7"/>
    <x:sheet xmlns:r="http://schemas.openxmlformats.org/officeDocument/2006/relationships" name="来源清单" sheetId="4" r:id="R033b1ff5b81e4e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8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0"/>
      </x:patternFill>
    </x:fill>
    <x:fill>
      <x:patternFill patternType="solid">
        <x:fgColor rgb="FF1F6F8B"/>
      </x:patternFill>
    </x:fill>
    <x:fill>
      <x:patternFill patternType="solid">
        <x:fgColor rgb="FFF4F7F9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3" fillId="4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16324F"/>
      </x:font>
      <x:fill>
        <x:patternFill patternType="solid">
          <x:bgColor rgb="FFDDF3E4"/>
        </x:patternFill>
      </x:fill>
    </x:dxf>
    <x:dxf>
      <x:fill>
        <x:patternFill patternType="solid">
          <x:bgColor rgb="FFDCEAF0"/>
        </x:patternFill>
      </x:fill>
    </x:dxf>
    <x:dxf>
      <x:fill>
        <x:patternFill patternType="solid">
          <x:bgColor rgb="FFFFF0C7"/>
        </x:patternFill>
      </x:fill>
    </x:dxf>
    <x:dxf>
      <x:font>
        <x:b/>
      </x:font>
      <x:fill>
        <x:patternFill patternType="solid">
          <x:bgColor rgb="FFDD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1f83d04974c19" /><Relationship Type="http://schemas.openxmlformats.org/officeDocument/2006/relationships/theme" Target="/xl/theme/theme1.xml" Id="R1d85aadf52ee431e" /><Relationship Type="http://schemas.openxmlformats.org/officeDocument/2006/relationships/sharedStrings" Target="/xl/sharedStrings.xml" Id="R21608e62d0954430" /><Relationship Type="http://schemas.openxmlformats.org/officeDocument/2006/relationships/worksheet" Target="/xl/worksheets/sheet1.xml" Id="R46dc2dcaef6c40c7" /><Relationship Type="http://schemas.openxmlformats.org/officeDocument/2006/relationships/worksheet" Target="/xl/worksheets/sheet2.xml" Id="R0275b4b55d4a493e" /><Relationship Type="http://schemas.openxmlformats.org/officeDocument/2006/relationships/worksheet" Target="/xl/worksheets/sheet3.xml" Id="Rd9a5a8169b304fd7" /><Relationship Type="http://schemas.openxmlformats.org/officeDocument/2006/relationships/worksheet" Target="/xl/worksheets/sheet4.xml" Id="R033b1ff5b81e4e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9405db29ce40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兼容等级分布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'分类统计'!$A$13:$A$16</c:f>
              <c:strCache>
                <c:ptCount val="0"/>
              </c:strCache>
            </c:strRef>
          </c:cat>
          <c:val>
            <c:numRef>
              <c:f>'分类统计'!$B$13:$B$16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9405db29ce404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killTable03" displayName="SkillTable03" ref="A4:V35" headerRowCount="1" totalsRowCount="0" totalsRowShown="0">
  <x:tableColumns count="22">
    <x:tableColumn id="1" name="序号"/>
    <x:tableColumn id="2" name="Skill ID"/>
    <x:tableColumn id="3" name="Skill名称"/>
    <x:tableColumn id="4" name="中文定位"/>
    <x:tableColumn id="5" name="简略功能"/>
    <x:tableColumn id="6" name="Skill地址"/>
    <x:tableColumn id="7" name="GitHub仓库"/>
    <x:tableColumn id="8" name="仓库地址"/>
    <x:tableColumn id="9" name="生态"/>
    <x:tableColumn id="10" name="来源形态"/>
    <x:tableColumn id="11" name="功能标签"/>
    <x:tableColumn id="12" name="适用角色"/>
    <x:tableColumn id="13" name="典型场景"/>
    <x:tableColumn id="14" name="兼容等级"/>
    <x:tableColumn id="15" name="适配建议"/>
    <x:tableColumn id="16" name="依赖条件"/>
    <x:tableColumn id="17" name="风险与边界"/>
    <x:tableColumn id="18" name="验证层级"/>
    <x:tableColumn id="19" name="优先级"/>
    <x:tableColumn id="20" name="Stars"/>
    <x:tableColumn id="21" name="最近推送"/>
    <x:tableColumn id="22" name="许可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Table03" displayName="SourceTable03" ref="A4:G11" headerRowCount="1" totalsRowCount="0" totalsRowShown="0">
  <x:tableColumns count="7">
    <x:tableColumn id="1" name="GitHub仓库"/>
    <x:tableColumn id="2" name="仓库地址"/>
    <x:tableColumn id="3" name="Stars"/>
    <x:tableColumn id="4" name="最近推送"/>
    <x:tableColumn id="5" name="许可证"/>
    <x:tableColumn id="6" name="入选Skill数"/>
    <x:tableColumn id="7" name="来源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8bfc9cfaeb41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14d1bd695d640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2009bd81ff04d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28" hidden="0" customWidth="1"/>
    <x:col min="4" max="4" width="28" hidden="0" customWidth="1"/>
  </x:cols>
  <x:sheetData>
    <x:row r="1" ht="38" customHeight="1">
      <x:c r="A1" s="3" t="str">
        <x:v>文献检索与学术研究｜GitHub Skill 调研</x:v>
      </x:c>
      <x:c r="B1" s="3"/>
      <x:c r="C1" s="3"/>
      <x:c r="D1" s="3"/>
      <x:c r="E1" s="3"/>
      <x:c r="F1" s="3"/>
      <x:c r="G1" s="3"/>
      <x:c r="H1" s="3"/>
    </x:row>
    <x:row r="2">
      <x:c r="A2" s="6" t="str">
        <x:v>独立分类交付物｜仅含入选项｜数据日期 2026-08-06</x:v>
      </x:c>
      <x:c r="B2" s="6"/>
      <x:c r="C2" s="6"/>
      <x:c r="D2" s="6"/>
      <x:c r="E2" s="6"/>
      <x:c r="F2" s="6"/>
      <x:c r="G2" s="6"/>
      <x:c r="H2" s="6"/>
    </x:row>
    <x:row r="4">
      <x:c r="A4" s="9" t="str">
        <x:v>项目</x:v>
      </x:c>
      <x:c r="B4" s="9" t="str">
        <x:v>说明</x:v>
      </x:c>
    </x:row>
    <x:row r="5">
      <x:c r="A5" s="12" t="str">
        <x:v>调研范围</x:v>
      </x:c>
      <x:c r="B5" s="13" t="str">
        <x:v>仅 GitHub；其他平台与市场不在本轮交付范围</x:v>
      </x:c>
    </x:row>
    <x:row r="6">
      <x:c r="A6" s="12" t="str">
        <x:v>分类</x:v>
      </x:c>
      <x:c r="B6" s="13" t="str">
        <x:v>文献检索与学术研究</x:v>
      </x:c>
    </x:row>
    <x:row r="7">
      <x:c r="A7" s="12" t="str">
        <x:v>入选数量</x:v>
      </x:c>
      <x:c r="B7" s="13" t="n">
        <x:v>31</x:v>
      </x:c>
    </x:row>
    <x:row r="8">
      <x:c r="A8" s="12" t="str">
        <x:v>内容验证</x:v>
      </x:c>
      <x:c r="B8" s="13" t="str">
        <x:v>读取 SKILL.md/README；部分候选进一步检查脚本、references、assets 和仓库结构</x:v>
      </x:c>
    </x:row>
    <x:row r="9">
      <x:c r="A9" s="12" t="str">
        <x:v>运行验证</x:v>
      </x:c>
      <x:c r="B9" s="13" t="str">
        <x:v>未安装、未执行；仅在用户另行指令后开展</x:v>
      </x:c>
    </x:row>
    <x:row r="10">
      <x:c r="A10" s="12" t="str">
        <x:v>排除项</x:v>
      </x:c>
      <x:c r="B10" s="13" t="str">
        <x:v>不进入本表；仅保存在项目内部归档</x:v>
      </x:c>
    </x:row>
    <x:row r="12">
      <x:c r="A12" s="14" t="str">
        <x:v>兼容等级释义</x:v>
      </x:c>
      <x:c r="B12" s="14"/>
      <x:c r="C12" s="14"/>
      <x:c r="D12" s="14"/>
      <x:c r="E12" s="14"/>
      <x:c r="F12" s="14"/>
      <x:c r="G12" s="14"/>
      <x:c r="H12" s="14"/>
    </x:row>
    <x:row r="13">
      <x:c r="A13" s="15" t="str">
        <x:v>等级</x:v>
      </x:c>
      <x:c r="B13" s="15" t="str">
        <x:v>含义</x:v>
      </x:c>
      <x:c r="C13" s="15" t="str">
        <x:v>建议</x:v>
      </x:c>
      <x:c r="D13" s="15" t="str">
        <x:v>备注</x:v>
      </x:c>
    </x:row>
    <x:row r="14">
      <x:c r="A14" s="13" t="str">
        <x:v>A</x:v>
      </x:c>
      <x:c r="B14" s="13" t="str">
        <x:v>可直接按 Agent Skill/Codex skill 结构使用</x:v>
      </x:c>
      <x:c r="C14" s="13" t="str">
        <x:v>优先试点</x:v>
      </x:c>
      <x:c r="D14" s="13" t="str">
        <x:v>仍需按本校工具和制度补充配置</x:v>
      </x:c>
    </x:row>
    <x:row r="15">
      <x:c r="A15" s="13" t="str">
        <x:v>B</x:v>
      </x:c>
      <x:c r="B15" s="13" t="str">
        <x:v>核心工作流可移植，需要替换工具或路径</x:v>
      </x:c>
      <x:c r="C15" s="13" t="str">
        <x:v>列入适配队列</x:v>
      </x:c>
      <x:c r="D15" s="13" t="str">
        <x:v>通常依赖外部 API、脚本或相邻 skill</x:v>
      </x:c>
    </x:row>
    <x:row r="16">
      <x:c r="A16" s="13" t="str">
        <x:v>C</x:v>
      </x:c>
      <x:c r="B16" s="13" t="str">
        <x:v>可借鉴，但需明显重写或部署配套服务</x:v>
      </x:c>
      <x:c r="C16" s="13" t="str">
        <x:v>场景验证后再建设</x:v>
      </x:c>
      <x:c r="D16" s="13" t="str">
        <x:v>关注维护、权限与部署成本</x:v>
      </x:c>
    </x:row>
    <x:row r="17">
      <x:c r="A17" s="13" t="str">
        <x:v>D</x:v>
      </x:c>
      <x:c r="B17" s="13" t="str">
        <x:v>主要作为方法或模板参考</x:v>
      </x:c>
      <x:c r="C17" s="13" t="str">
        <x:v>按需吸收</x:v>
      </x:c>
      <x:c r="D17" s="13" t="str">
        <x:v>不建议原样接入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2" hidden="0" customWidth="1"/>
    <x:col min="4" max="4" width="24" hidden="0" customWidth="1"/>
    <x:col min="5" max="5" width="42" hidden="0" customWidth="1"/>
    <x:col min="6" max="6" width="55" hidden="0" customWidth="1"/>
    <x:col min="7" max="7" width="37" hidden="0" customWidth="1"/>
    <x:col min="8" max="8" width="46" hidden="0" customWidth="1"/>
    <x:col min="9" max="9" width="30" hidden="0" customWidth="1"/>
    <x:col min="10" max="10" width="30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15" hidden="0" customWidth="1"/>
    <x:col min="19" max="19" width="15" hidden="0" customWidth="1"/>
    <x:col min="20" max="20" width="11" hidden="0" customWidth="1"/>
    <x:col min="21" max="21" width="14" hidden="0" customWidth="1"/>
    <x:col min="22" max="22" width="20" hidden="0" customWidth="1"/>
  </x:cols>
  <x:sheetData>
    <x:row r="1" ht="34" customHeight="1">
      <x:c r="A1" s="16" t="str">
        <x:v>文献检索与学术研究｜入选 Skill 总表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</x:row>
    <x:row r="2">
      <x:c r="A2" s="5" t="str">
        <x:v>共 31 项；地址为纯文本 GitHub URL；验证不含安装或运行。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4" ht="32" customHeight="1">
      <x:c r="A4" s="15" t="str">
        <x:v>序号</x:v>
      </x:c>
      <x:c r="B4" s="15" t="str">
        <x:v>Skill ID</x:v>
      </x:c>
      <x:c r="C4" s="15" t="str">
        <x:v>Skill名称</x:v>
      </x:c>
      <x:c r="D4" s="15" t="str">
        <x:v>中文定位</x:v>
      </x:c>
      <x:c r="E4" s="15" t="str">
        <x:v>简略功能</x:v>
      </x:c>
      <x:c r="F4" s="15" t="str">
        <x:v>Skill地址</x:v>
      </x:c>
      <x:c r="G4" s="15" t="str">
        <x:v>GitHub仓库</x:v>
      </x:c>
      <x:c r="H4" s="15" t="str">
        <x:v>仓库地址</x:v>
      </x:c>
      <x:c r="I4" s="15" t="str">
        <x:v>生态</x:v>
      </x:c>
      <x:c r="J4" s="15" t="str">
        <x:v>来源形态</x:v>
      </x:c>
      <x:c r="K4" s="15" t="str">
        <x:v>功能标签</x:v>
      </x:c>
      <x:c r="L4" s="15" t="str">
        <x:v>适用角色</x:v>
      </x:c>
      <x:c r="M4" s="15" t="str">
        <x:v>典型场景</x:v>
      </x:c>
      <x:c r="N4" s="15" t="str">
        <x:v>兼容等级</x:v>
      </x:c>
      <x:c r="O4" s="15" t="str">
        <x:v>适配建议</x:v>
      </x:c>
      <x:c r="P4" s="15" t="str">
        <x:v>依赖条件</x:v>
      </x:c>
      <x:c r="Q4" s="15" t="str">
        <x:v>风险与边界</x:v>
      </x:c>
      <x:c r="R4" s="15" t="str">
        <x:v>验证层级</x:v>
      </x:c>
      <x:c r="S4" s="15" t="str">
        <x:v>优先级</x:v>
      </x:c>
      <x:c r="T4" s="15" t="str">
        <x:v>Stars</x:v>
      </x:c>
      <x:c r="U4" s="15" t="str">
        <x:v>最近推送</x:v>
      </x:c>
      <x:c r="V4" s="15" t="str">
        <x:v>许可证</x:v>
      </x:c>
    </x:row>
    <x:row r="5" ht="58" customHeight="1">
      <x:c r="A5" s="20" t="n">
        <x:v>1</x:v>
      </x:c>
      <x:c r="B5" s="20" t="str">
        <x:v>GH-03-0001</x:v>
      </x:c>
      <x:c r="C5" s="19" t="str">
        <x:v>paper-lookup</x:v>
      </x:c>
      <x:c r="D5" s="19" t="str">
        <x:v>多数据库论文检索</x:v>
      </x:c>
      <x:c r="E5" s="19" t="str">
        <x:v>通过十一种学术 API 检索论文、预印本、引文和开放全文。</x:v>
      </x:c>
      <x:c r="F5" s="19" t="str">
        <x:v>https://github.com/K-Dense-AI/scientific-agent-skills/blob/main/skills/paper-lookup/SKILL.md</x:v>
      </x:c>
      <x:c r="G5" s="19" t="str">
        <x:v>K-Dense-AI/scientific-agent-skills</x:v>
      </x:c>
      <x:c r="H5" s="19" t="str">
        <x:v>https://github.com/K-Dense-AI/scientific-agent-skills</x:v>
      </x:c>
      <x:c r="I5" s="19" t="str">
        <x:v>Agent Skills（兼容 Codex）</x:v>
      </x:c>
      <x:c r="J5" s="19" t="str">
        <x:v>社区 skill、开源仓库</x:v>
      </x:c>
      <x:c r="K5" s="19" t="str">
        <x:v>PubMed、PMC、arXiv、OpenAlex、Crossref、Semantic Scholar</x:v>
      </x:c>
      <x:c r="L5" s="19" t="str">
        <x:v>学生、科研人员、图书馆人员</x:v>
      </x:c>
      <x:c r="M5" s="19" t="str">
        <x:v>查 DOI/PMID、找开放全文、引文网络和主题文献检索</x:v>
      </x:c>
      <x:c r="N5" s="21" t="str">
        <x:v>A</x:v>
      </x:c>
      <x:c r="O5" s="19" t="str">
        <x:v>可直接用于 Codex；按 API 可用性启用相应脚本。</x:v>
      </x:c>
      <x:c r="P5" s="19" t="str">
        <x:v>Python；多个公开学术 API</x:v>
      </x:c>
      <x:c r="Q5" s="19" t="str">
        <x:v>API 覆盖和速率不同，检索结果不等同于质量判断。</x:v>
      </x:c>
      <x:c r="R5" s="21" t="str">
        <x:v>二级包内容验证</x:v>
      </x:c>
      <x:c r="S5" s="21" t="str">
        <x:v>高</x:v>
      </x:c>
      <x:c r="T5" s="20" t="n">
        <x:v>32811</x:v>
      </x:c>
      <x:c r="U5" s="20" t="str">
        <x:v>2026-08-03</x:v>
      </x:c>
      <x:c r="V5" s="18" t="str">
        <x:v>MIT</x:v>
      </x:c>
    </x:row>
    <x:row r="6" ht="58" customHeight="1">
      <x:c r="A6" s="20" t="n">
        <x:v>2</x:v>
      </x:c>
      <x:c r="B6" s="20" t="str">
        <x:v>GH-03-0002</x:v>
      </x:c>
      <x:c r="C6" s="19" t="str">
        <x:v>literature-review</x:v>
      </x:c>
      <x:c r="D6" s="19" t="str">
        <x:v>系统化文献综述</x:v>
      </x:c>
      <x:c r="E6" s="19" t="str">
        <x:v>跨多个学术数据库开展系统化文献综述并生成报告。</x:v>
      </x:c>
      <x:c r="F6" s="19" t="str">
        <x:v>https://github.com/K-Dense-AI/scientific-agent-skills/blob/main/skills/literature-review/SKILL.md</x:v>
      </x:c>
      <x:c r="G6" s="19" t="str">
        <x:v>K-Dense-AI/scientific-agent-skills</x:v>
      </x:c>
      <x:c r="H6" s="19" t="str">
        <x:v>https://github.com/K-Dense-AI/scientific-agent-skills</x:v>
      </x:c>
      <x:c r="I6" s="19" t="str">
        <x:v>Agent Skills（兼容 Codex）</x:v>
      </x:c>
      <x:c r="J6" s="19" t="str">
        <x:v>社区 skill、开源仓库</x:v>
      </x:c>
      <x:c r="K6" s="19" t="str">
        <x:v>文献综述、系统检索、研究综合、引文格式</x:v>
      </x:c>
      <x:c r="L6" s="19" t="str">
        <x:v>学生、科研人员、图书馆人员</x:v>
      </x:c>
      <x:c r="M6" s="19" t="str">
        <x:v>综述论文、课题背景、系统检索与证据综合</x:v>
      </x:c>
      <x:c r="N6" s="21" t="str">
        <x:v>A</x:v>
      </x:c>
      <x:c r="O6" s="19" t="str">
        <x:v>直接复用流程；数据库和 PDF 生成工具按环境配置。</x:v>
      </x:c>
      <x:c r="P6" s="19" t="str">
        <x:v>学术检索 API；Python PDF 与引用工具</x:v>
      </x:c>
      <x:c r="Q6" s="19" t="str">
        <x:v>完整性依赖检索策略；自动摘要不能替代全文核验。</x:v>
      </x:c>
      <x:c r="R6" s="21" t="str">
        <x:v>二级包内容验证</x:v>
      </x:c>
      <x:c r="S6" s="21" t="str">
        <x:v>高</x:v>
      </x:c>
      <x:c r="T6" s="20" t="n">
        <x:v>32811</x:v>
      </x:c>
      <x:c r="U6" s="20" t="str">
        <x:v>2026-08-03</x:v>
      </x:c>
      <x:c r="V6" s="18" t="str">
        <x:v>MIT</x:v>
      </x:c>
    </x:row>
    <x:row r="7" ht="58" customHeight="1">
      <x:c r="A7" s="20" t="n">
        <x:v>3</x:v>
      </x:c>
      <x:c r="B7" s="20" t="str">
        <x:v>GH-03-0003</x:v>
      </x:c>
      <x:c r="C7" s="19" t="str">
        <x:v>research-lookup</x:v>
      </x:c>
      <x:c r="D7" s="19" t="str">
        <x:v>科研证据包检索</x:v>
      </x:c>
      <x:c r="E7" s="19" t="str">
        <x:v>为科研手稿或研究简报汇集当前学术证据。</x:v>
      </x:c>
      <x:c r="F7" s="19" t="str">
        <x:v>https://github.com/K-Dense-AI/scientific-agent-skills/blob/main/skills/research-lookup/SKILL.md</x:v>
      </x:c>
      <x:c r="G7" s="19" t="str">
        <x:v>K-Dense-AI/scientific-agent-skills</x:v>
      </x:c>
      <x:c r="H7" s="19" t="str">
        <x:v>https://github.com/K-Dense-AI/scientific-agent-skills</x:v>
      </x:c>
      <x:c r="I7" s="19" t="str">
        <x:v>Agent Skills（兼容 Codex）</x:v>
      </x:c>
      <x:c r="J7" s="19" t="str">
        <x:v>社区 skill、开源仓库</x:v>
      </x:c>
      <x:c r="K7" s="19" t="str">
        <x:v>证据包、来源提取、背景研究、竞争发现</x:v>
      </x:c>
      <x:c r="L7" s="19" t="str">
        <x:v>科研人员、研究生</x:v>
      </x:c>
      <x:c r="M7" s="19" t="str">
        <x:v>论文背景证据、竞争结论、研究简报</x:v>
      </x:c>
      <x:c r="N7" s="21" t="str">
        <x:v>C</x:v>
      </x:c>
      <x:c r="O7" s="19" t="str">
        <x:v>需替换 Parallel 系列工具或仅保留方法框架。</x:v>
      </x:c>
      <x:c r="P7" s="19" t="str">
        <x:v>Parallel Search/Extract/Research；可选 Perplexity</x:v>
      </x:c>
      <x:c r="Q7" s="19" t="str">
        <x:v>依赖商业外部服务，未授权材料不应上传。</x:v>
      </x:c>
      <x:c r="R7" s="21" t="str">
        <x:v>说明已核验</x:v>
      </x:c>
      <x:c r="S7" s="21" t="str">
        <x:v>中</x:v>
      </x:c>
      <x:c r="T7" s="20" t="n">
        <x:v>32811</x:v>
      </x:c>
      <x:c r="U7" s="20" t="str">
        <x:v>2026-08-03</x:v>
      </x:c>
      <x:c r="V7" s="18" t="str">
        <x:v>MIT</x:v>
      </x:c>
    </x:row>
    <x:row r="8" ht="58" customHeight="1">
      <x:c r="A8" s="20" t="n">
        <x:v>4</x:v>
      </x:c>
      <x:c r="B8" s="20" t="str">
        <x:v>GH-03-0004</x:v>
      </x:c>
      <x:c r="C8" s="19" t="str">
        <x:v>scholar-evaluation</x:v>
      </x:c>
      <x:c r="D8" s="19" t="str">
        <x:v>学术成果发展性评估</x:v>
      </x:c>
      <x:c r="E8" s="19" t="str">
        <x:v>对学术作品进行证据可追踪的发展性评审。</x:v>
      </x:c>
      <x:c r="F8" s="19" t="str">
        <x:v>https://github.com/K-Dense-AI/scientific-agent-skills/blob/main/skills/scholar-evaluation/SKILL.md</x:v>
      </x:c>
      <x:c r="G8" s="19" t="str">
        <x:v>K-Dense-AI/scientific-agent-skills</x:v>
      </x:c>
      <x:c r="H8" s="19" t="str">
        <x:v>https://github.com/K-Dense-AI/scientific-agent-skills</x:v>
      </x:c>
      <x:c r="I8" s="19" t="str">
        <x:v>Agent Skills（兼容 Codex）</x:v>
      </x:c>
      <x:c r="J8" s="19" t="str">
        <x:v>社区 skill、开源仓库</x:v>
      </x:c>
      <x:c r="K8" s="19" t="str">
        <x:v>学术评价、证据追踪、量表审计、发展性反馈</x:v>
      </x:c>
      <x:c r="L8" s="19" t="str">
        <x:v>教学人员、科研人员、研究生</x:v>
      </x:c>
      <x:c r="M8" s="19" t="str">
        <x:v>论文草稿反馈、课程研究作品评估、量表检查</x:v>
      </x:c>
      <x:c r="N8" s="21" t="str">
        <x:v>A</x:v>
      </x:c>
      <x:c r="O8" s="19" t="str">
        <x:v>可直接使用；将评价限定为作品改进。</x:v>
      </x:c>
      <x:c r="P8" s="19" t="str">
        <x:v>可选本地质量检查</x:v>
      </x:c>
      <x:c r="Q8" s="19" t="str">
        <x:v>不适合招生、聘用或晋升等后果性决策。</x:v>
      </x:c>
      <x:c r="R8" s="21" t="str">
        <x:v>说明已核验</x:v>
      </x:c>
      <x:c r="S8" s="21" t="str">
        <x:v>中</x:v>
      </x:c>
      <x:c r="T8" s="20" t="n">
        <x:v>32811</x:v>
      </x:c>
      <x:c r="U8" s="20" t="str">
        <x:v>2026-08-03</x:v>
      </x:c>
      <x:c r="V8" s="18" t="str">
        <x:v>MIT</x:v>
      </x:c>
    </x:row>
    <x:row r="9" ht="58" customHeight="1">
      <x:c r="A9" s="20" t="n">
        <x:v>5</x:v>
      </x:c>
      <x:c r="B9" s="20" t="str">
        <x:v>GH-03-0005</x:v>
      </x:c>
      <x:c r="C9" s="19" t="str">
        <x:v>open-notebook</x:v>
      </x:c>
      <x:c r="D9" s="19" t="str">
        <x:v>自托管研究笔记与文档问答</x:v>
      </x:c>
      <x:c r="E9" s="19" t="str">
        <x:v>使用 Open Notebook 组织研究资料、生成笔记并跨材料检索。</x:v>
      </x:c>
      <x:c r="F9" s="19" t="str">
        <x:v>https://github.com/K-Dense-AI/scientific-agent-skills/blob/main/skills/open-notebook/SKILL.md</x:v>
      </x:c>
      <x:c r="G9" s="19" t="str">
        <x:v>K-Dense-AI/scientific-agent-skills</x:v>
      </x:c>
      <x:c r="H9" s="19" t="str">
        <x:v>https://github.com/K-Dense-AI/scientific-agent-skills</x:v>
      </x:c>
      <x:c r="I9" s="19" t="str">
        <x:v>Agent Skills（兼容 Codex）</x:v>
      </x:c>
      <x:c r="J9" s="19" t="str">
        <x:v>社区 skill、开源仓库、可改造工作流</x:v>
      </x:c>
      <x:c r="K9" s="19" t="str">
        <x:v>研究笔记、文档问答、向量检索、播客、自托管</x:v>
      </x:c>
      <x:c r="L9" s="19" t="str">
        <x:v>学生、科研人员、图书馆人员</x:v>
      </x:c>
      <x:c r="M9" s="19" t="str">
        <x:v>个人研究库、课题组资料问答、长文档整理</x:v>
      </x:c>
      <x:c r="N9" s="21" t="str">
        <x:v>C</x:v>
      </x:c>
      <x:c r="O9" s="19" t="str">
        <x:v>需部署 Open Notebook 并配置模型；可仅借鉴笔记组织流程。</x:v>
      </x:c>
      <x:c r="P9" s="19" t="str">
        <x:v>Docker/自托管服务、数据库和模型提供商</x:v>
      </x:c>
      <x:c r="Q9" s="19" t="str">
        <x:v>部署与模型配置成本较高；导入资料需明确数据边界。</x:v>
      </x:c>
      <x:c r="R9" s="21" t="str">
        <x:v>说明已核验</x:v>
      </x:c>
      <x:c r="S9" s="21" t="str">
        <x:v>中</x:v>
      </x:c>
      <x:c r="T9" s="20" t="n">
        <x:v>32811</x:v>
      </x:c>
      <x:c r="U9" s="20" t="str">
        <x:v>2026-08-03</x:v>
      </x:c>
      <x:c r="V9" s="18" t="str">
        <x:v>MIT</x:v>
      </x:c>
    </x:row>
    <x:row r="10" ht="58" customHeight="1">
      <x:c r="A10" s="20" t="n">
        <x:v>6</x:v>
      </x:c>
      <x:c r="B10" s="20" t="str">
        <x:v>GH-03-0006</x:v>
      </x:c>
      <x:c r="C10" s="19" t="str">
        <x:v>bgpt-paper-search</x:v>
      </x:c>
      <x:c r="D10" s="19" t="str">
        <x:v>全文实验数据论文检索</x:v>
      </x:c>
      <x:c r="E10" s="19" t="str">
        <x:v>通过 BGPT MCP 搜索论文并提取结构化实验字段。</x:v>
      </x:c>
      <x:c r="F10" s="19" t="str">
        <x:v>https://github.com/K-Dense-AI/scientific-agent-skills/blob/main/skills/bgpt-paper-search/SKILL.md</x:v>
      </x:c>
      <x:c r="G10" s="19" t="str">
        <x:v>K-Dense-AI/scientific-agent-skills</x:v>
      </x:c>
      <x:c r="H10" s="19" t="str">
        <x:v>https://github.com/K-Dense-AI/scientific-agent-skills</x:v>
      </x:c>
      <x:c r="I10" s="19" t="str">
        <x:v>Agent Skills（兼容 Codex）</x:v>
      </x:c>
      <x:c r="J10" s="19" t="str">
        <x:v>社区 skill、开源仓库</x:v>
      </x:c>
      <x:c r="K10" s="19" t="str">
        <x:v>BGPT、全文结构化数据、方法、样本量、质量分</x:v>
      </x:c>
      <x:c r="L10" s="19" t="str">
        <x:v>科研人员、研究生</x:v>
      </x:c>
      <x:c r="M10" s="19" t="str">
        <x:v>系统综述数据提取、实验方法和样本量比较</x:v>
      </x:c>
      <x:c r="N10" s="21" t="str">
        <x:v>C</x:v>
      </x:c>
      <x:c r="O10" s="19" t="str">
        <x:v>需要部署或连接 BGPT MCP；不可用时保留字段模板。</x:v>
      </x:c>
      <x:c r="P10" s="19" t="str">
        <x:v>BGPT MCP 服务</x:v>
      </x:c>
      <x:c r="Q10" s="19" t="str">
        <x:v>外部抽取质量和覆盖需核验，不能直接作为原始研究证据。</x:v>
      </x:c>
      <x:c r="R10" s="21" t="str">
        <x:v>说明已核验</x:v>
      </x:c>
      <x:c r="S10" s="21" t="str">
        <x:v>中</x:v>
      </x:c>
      <x:c r="T10" s="20" t="n">
        <x:v>32811</x:v>
      </x:c>
      <x:c r="U10" s="20" t="str">
        <x:v>2026-08-03</x:v>
      </x:c>
      <x:c r="V10" s="18" t="str">
        <x:v>MIT</x:v>
      </x:c>
    </x:row>
    <x:row r="11" ht="58" customHeight="1">
      <x:c r="A11" s="20" t="n">
        <x:v>7</x:v>
      </x:c>
      <x:c r="B11" s="20" t="str">
        <x:v>GH-03-0007</x:v>
      </x:c>
      <x:c r="C11" s="19" t="str">
        <x:v>hypothesis-generation</x:v>
      </x:c>
      <x:c r="D11" s="19" t="str">
        <x:v>可检验假设生成</x:v>
      </x:c>
      <x:c r="E11" s="19" t="str">
        <x:v>把观察和初步发现转化为证据有界的可检验假设。</x:v>
      </x:c>
      <x:c r="F11" s="19" t="str">
        <x:v>https://github.com/K-Dense-AI/scientific-agent-skills/blob/main/skills/hypothesis-generation/SKILL.md</x:v>
      </x:c>
      <x:c r="G11" s="19" t="str">
        <x:v>K-Dense-AI/scientific-agent-skills</x:v>
      </x:c>
      <x:c r="H11" s="19" t="str">
        <x:v>https://github.com/K-Dense-AI/scientific-agent-skills</x:v>
      </x:c>
      <x:c r="I11" s="19" t="str">
        <x:v>Agent Skills（兼容 Codex）</x:v>
      </x:c>
      <x:c r="J11" s="19" t="str">
        <x:v>社区 skill、开源仓库</x:v>
      </x:c>
      <x:c r="K11" s="19" t="str">
        <x:v>研究问题、假设、替代解释、预测、预注册</x:v>
      </x:c>
      <x:c r="L11" s="19" t="str">
        <x:v>学生、科研人员、教学人员</x:v>
      </x:c>
      <x:c r="M11" s="19" t="str">
        <x:v>研究设计课程、开题、实验计划和预注册</x:v>
      </x:c>
      <x:c r="N11" s="21" t="str">
        <x:v>A</x:v>
      </x:c>
      <x:c r="O11" s="19" t="str">
        <x:v>可直接用于 Codex；输入证据需显式标注来源。</x:v>
      </x:c>
      <x:c r="P11" s="19" t="str">
        <x:v>无明确外部依赖</x:v>
      </x:c>
      <x:c r="Q11" s="19" t="str">
        <x:v>假设不是事实，生成内容可能受输入偏差影响。</x:v>
      </x:c>
      <x:c r="R11" s="21" t="str">
        <x:v>说明已核验</x:v>
      </x:c>
      <x:c r="S11" s="21" t="str">
        <x:v>高</x:v>
      </x:c>
      <x:c r="T11" s="20" t="n">
        <x:v>32811</x:v>
      </x:c>
      <x:c r="U11" s="20" t="str">
        <x:v>2026-08-03</x:v>
      </x:c>
      <x:c r="V11" s="18" t="str">
        <x:v>MIT</x:v>
      </x:c>
    </x:row>
    <x:row r="12" ht="58" customHeight="1">
      <x:c r="A12" s="20" t="n">
        <x:v>8</x:v>
      </x:c>
      <x:c r="B12" s="20" t="str">
        <x:v>GH-03-0008</x:v>
      </x:c>
      <x:c r="C12" s="19" t="str">
        <x:v>scientific-critical-thinking</x:v>
      </x:c>
      <x:c r="D12" s="19" t="str">
        <x:v>科学证据批判性分析</x:v>
      </x:c>
      <x:c r="E12" s="19" t="str">
        <x:v>评估科学主张、研究设计和证据质量。</x:v>
      </x:c>
      <x:c r="F12" s="19" t="str">
        <x:v>https://github.com/K-Dense-AI/scientific-agent-skills/blob/main/skills/scientific-critical-thinking/SKILL.md</x:v>
      </x:c>
      <x:c r="G12" s="19" t="str">
        <x:v>K-Dense-AI/scientific-agent-skills</x:v>
      </x:c>
      <x:c r="H12" s="19" t="str">
        <x:v>https://github.com/K-Dense-AI/scientific-agent-skills</x:v>
      </x:c>
      <x:c r="I12" s="19" t="str">
        <x:v>Agent Skills（兼容 Codex）</x:v>
      </x:c>
      <x:c r="J12" s="19" t="str">
        <x:v>社区 skill、开源仓库</x:v>
      </x:c>
      <x:c r="K12" s="19" t="str">
        <x:v>研究设计、偏倚、混杂、GRADE、风险评估</x:v>
      </x:c>
      <x:c r="L12" s="19" t="str">
        <x:v>学生、教学人员、科研人员</x:v>
      </x:c>
      <x:c r="M12" s="19" t="str">
        <x:v>论文研读、研究方法教学、证据质量检查</x:v>
      </x:c>
      <x:c r="N12" s="21" t="str">
        <x:v>A</x:v>
      </x:c>
      <x:c r="O12" s="19" t="str">
        <x:v>可直接使用；按学科替换评价框架。</x:v>
      </x:c>
      <x:c r="P12" s="19" t="str">
        <x:v>无明确外部依赖</x:v>
      </x:c>
      <x:c r="Q12" s="19" t="str">
        <x:v>框架性判断仍需领域知识和完整材料。</x:v>
      </x:c>
      <x:c r="R12" s="21" t="str">
        <x:v>说明已核验</x:v>
      </x:c>
      <x:c r="S12" s="21" t="str">
        <x:v>高</x:v>
      </x:c>
      <x:c r="T12" s="20" t="n">
        <x:v>32811</x:v>
      </x:c>
      <x:c r="U12" s="20" t="str">
        <x:v>2026-08-03</x:v>
      </x:c>
      <x:c r="V12" s="18" t="str">
        <x:v>MIT</x:v>
      </x:c>
    </x:row>
    <x:row r="13" ht="58" customHeight="1">
      <x:c r="A13" s="20" t="n">
        <x:v>9</x:v>
      </x:c>
      <x:c r="B13" s="20" t="str">
        <x:v>GH-03-0009</x:v>
      </x:c>
      <x:c r="C13" s="19" t="str">
        <x:v>academic-literature-search</x:v>
      </x:c>
      <x:c r="D13" s="19" t="str">
        <x:v>中文学术检索与引用管理</x:v>
      </x:c>
      <x:c r="E13" s="19" t="str">
        <x:v>以中文说明多工具学术检索和引文管理流程。</x:v>
      </x:c>
      <x:c r="F13" s="19" t="str">
        <x:v>https://github.com/beita6969/ScienceClaw/blob/main/skills/academic-literature-search/SKILL.md</x:v>
      </x:c>
      <x:c r="G13" s="19" t="str">
        <x:v>beita6969/ScienceClaw</x:v>
      </x:c>
      <x:c r="H13" s="19" t="str">
        <x:v>https://github.com/beita6969/ScienceClaw</x:v>
      </x:c>
      <x:c r="I13" s="19" t="str">
        <x:v>其他明确命名生态（OpenClaw）</x:v>
      </x:c>
      <x:c r="J13" s="19" t="str">
        <x:v>社区 skill、开源仓库</x:v>
      </x:c>
      <x:c r="K13" s="19" t="str">
        <x:v>PubMed、中文流程、工具路由、引文管理</x:v>
      </x:c>
      <x:c r="L13" s="19" t="str">
        <x:v>学生、科研人员、图书馆人员</x:v>
      </x:c>
      <x:c r="M13" s="19" t="str">
        <x:v>中文课题检索培训、医学与综合文献检索</x:v>
      </x:c>
      <x:c r="N13" s="21" t="str">
        <x:v>C</x:v>
      </x:c>
      <x:c r="O13" s="19" t="str">
        <x:v>替换 OpenClaw MCP 名称并保留平台路由表。</x:v>
      </x:c>
      <x:c r="P13" s="19" t="str">
        <x:v>PubMed MCP 及其他外部搜索工具</x:v>
      </x:c>
      <x:c r="Q13" s="19" t="str">
        <x:v>工具依赖较强，部分数据库范围偏医学。</x:v>
      </x:c>
      <x:c r="R13" s="21" t="str">
        <x:v>说明已核验</x:v>
      </x:c>
      <x:c r="S13" s="21" t="str">
        <x:v>中</x:v>
      </x:c>
      <x:c r="T13" s="20" t="n">
        <x:v>872</x:v>
      </x:c>
      <x:c r="U13" s="20" t="str">
        <x:v>2026-06-08</x:v>
      </x:c>
      <x:c r="V13" s="18" t="str">
        <x:v>MIT</x:v>
      </x:c>
    </x:row>
    <x:row r="14" ht="58" customHeight="1">
      <x:c r="A14" s="20" t="n">
        <x:v>10</x:v>
      </x:c>
      <x:c r="B14" s="20" t="str">
        <x:v>GH-03-0010</x:v>
      </x:c>
      <x:c r="C14" s="19" t="str">
        <x:v>arxiv-search</x:v>
      </x:c>
      <x:c r="D14" s="19" t="str">
        <x:v>arXiv 预印本检索</x:v>
      </x:c>
      <x:c r="E14" s="19" t="str">
        <x:v>按主题、作者和分类检索 arXiv 预印本。</x:v>
      </x:c>
      <x:c r="F14" s="19" t="str">
        <x:v>https://github.com/beita6969/ScienceClaw/blob/main/skills/arxiv-search/SKILL.md</x:v>
      </x:c>
      <x:c r="G14" s="19" t="str">
        <x:v>beita6969/ScienceClaw</x:v>
      </x:c>
      <x:c r="H14" s="19" t="str">
        <x:v>https://github.com/beita6969/ScienceClaw</x:v>
      </x:c>
      <x:c r="I14" s="19" t="str">
        <x:v>其他明确命名生态（OpenClaw）</x:v>
      </x:c>
      <x:c r="J14" s="19" t="str">
        <x:v>社区 skill、开源仓库</x:v>
      </x:c>
      <x:c r="K14" s="19" t="str">
        <x:v>arXiv、预印本、作者、分类、元数据</x:v>
      </x:c>
      <x:c r="L14" s="19" t="str">
        <x:v>学生、科研人员</x:v>
      </x:c>
      <x:c r="M14" s="19" t="str">
        <x:v>计算机、物理、数学等领域前沿预印本跟踪</x:v>
      </x:c>
      <x:c r="N14" s="21" t="str">
        <x:v>B</x:v>
      </x:c>
      <x:c r="O14" s="19" t="str">
        <x:v>映射到 Codex 网络或本地 API 脚本。</x:v>
      </x:c>
      <x:c r="P14" s="19" t="str">
        <x:v>arXiv API</x:v>
      </x:c>
      <x:c r="Q14" s="19" t="str">
        <x:v>预印本未必经过同行评审；API 速率需遵守。</x:v>
      </x:c>
      <x:c r="R14" s="21" t="str">
        <x:v>说明已核验</x:v>
      </x:c>
      <x:c r="S14" s="21" t="str">
        <x:v>中</x:v>
      </x:c>
      <x:c r="T14" s="20" t="n">
        <x:v>872</x:v>
      </x:c>
      <x:c r="U14" s="20" t="str">
        <x:v>2026-06-08</x:v>
      </x:c>
      <x:c r="V14" s="18" t="str">
        <x:v>MIT</x:v>
      </x:c>
    </x:row>
    <x:row r="15" ht="58" customHeight="1">
      <x:c r="A15" s="20" t="n">
        <x:v>11</x:v>
      </x:c>
      <x:c r="B15" s="20" t="str">
        <x:v>GH-03-0011</x:v>
      </x:c>
      <x:c r="C15" s="19" t="str">
        <x:v>biorxiv-search</x:v>
      </x:c>
      <x:c r="D15" s="19" t="str">
        <x:v>bioRxiv 语义检索</x:v>
      </x:c>
      <x:c r="E15" s="19" t="str">
        <x:v>用自然语言语义检索 bioRxiv 生命科学预印本。</x:v>
      </x:c>
      <x:c r="F15" s="19" t="str">
        <x:v>https://github.com/beita6969/ScienceClaw/blob/main/skills/biorxiv-search/SKILL.md</x:v>
      </x:c>
      <x:c r="G15" s="19" t="str">
        <x:v>beita6969/ScienceClaw</x:v>
      </x:c>
      <x:c r="H15" s="19" t="str">
        <x:v>https://github.com/beita6969/ScienceClaw</x:v>
      </x:c>
      <x:c r="I15" s="19" t="str">
        <x:v>其他明确命名生态（OpenClaw）</x:v>
      </x:c>
      <x:c r="J15" s="19" t="str">
        <x:v>社区 skill、开源仓库</x:v>
      </x:c>
      <x:c r="K15" s="19" t="str">
        <x:v>bioRxiv、生命科学、预印本、语义检索</x:v>
      </x:c>
      <x:c r="L15" s="19" t="str">
        <x:v>科研人员、研究生</x:v>
      </x:c>
      <x:c r="M15" s="19" t="str">
        <x:v>生命科学前沿追踪、预印本发现</x:v>
      </x:c>
      <x:c r="N15" s="21" t="str">
        <x:v>C</x:v>
      </x:c>
      <x:c r="O15" s="19" t="str">
        <x:v>需要配置 Valyu；也可改为 bioRxiv 官方 API 关键词检索。</x:v>
      </x:c>
      <x:c r="P15" s="19" t="str">
        <x:v>Valyu 服务与仓库脚本</x:v>
      </x:c>
      <x:c r="Q15" s="19" t="str">
        <x:v>商业语义搜索的排序和覆盖不可完全复现。</x:v>
      </x:c>
      <x:c r="R15" s="21" t="str">
        <x:v>说明已核验</x:v>
      </x:c>
      <x:c r="S15" s="21" t="str">
        <x:v>中</x:v>
      </x:c>
      <x:c r="T15" s="20" t="n">
        <x:v>872</x:v>
      </x:c>
      <x:c r="U15" s="20" t="str">
        <x:v>2026-06-08</x:v>
      </x:c>
      <x:c r="V15" s="18" t="str">
        <x:v>MIT</x:v>
      </x:c>
    </x:row>
    <x:row r="16" ht="58" customHeight="1">
      <x:c r="A16" s="20" t="n">
        <x:v>12</x:v>
      </x:c>
      <x:c r="B16" s="20" t="str">
        <x:v>GH-03-0012</x:v>
      </x:c>
      <x:c r="C16" s="19" t="str">
        <x:v>crossref-search</x:v>
      </x:c>
      <x:c r="D16" s="19" t="str">
        <x:v>Crossref DOI 与出版元数据</x:v>
      </x:c>
      <x:c r="E16" s="19" t="str">
        <x:v>通过 Crossref API 查询 DOI、出版物和期刊元数据。</x:v>
      </x:c>
      <x:c r="F16" s="19" t="str">
        <x:v>https://github.com/beita6969/ScienceClaw/blob/main/skills/crossref-search/SKILL.md</x:v>
      </x:c>
      <x:c r="G16" s="19" t="str">
        <x:v>beita6969/ScienceClaw</x:v>
      </x:c>
      <x:c r="H16" s="19" t="str">
        <x:v>https://github.com/beita6969/ScienceClaw</x:v>
      </x:c>
      <x:c r="I16" s="19" t="str">
        <x:v>其他明确命名生态（OpenClaw）</x:v>
      </x:c>
      <x:c r="J16" s="19" t="str">
        <x:v>社区 skill、开源仓库</x:v>
      </x:c>
      <x:c r="K16" s="19" t="str">
        <x:v>Crossref、DOI、期刊元数据、出版社</x:v>
      </x:c>
      <x:c r="L16" s="19" t="str">
        <x:v>科研人员、学生、图书馆人员</x:v>
      </x:c>
      <x:c r="M16" s="19" t="str">
        <x:v>参考文献校验、DOI 补全、出版元数据核对</x:v>
      </x:c>
      <x:c r="N16" s="21" t="str">
        <x:v>B</x:v>
      </x:c>
      <x:c r="O16" s="19" t="str">
        <x:v>替换为 Codex HTTP 或现有 paper-lookup 脚本。</x:v>
      </x:c>
      <x:c r="P16" s="19" t="str">
        <x:v>Crossref REST API</x:v>
      </x:c>
      <x:c r="Q16" s="19" t="str">
        <x:v>元数据由成员提交，字段可能缺失或存在版本差异。</x:v>
      </x:c>
      <x:c r="R16" s="21" t="str">
        <x:v>说明已核验</x:v>
      </x:c>
      <x:c r="S16" s="21" t="str">
        <x:v>中</x:v>
      </x:c>
      <x:c r="T16" s="20" t="n">
        <x:v>872</x:v>
      </x:c>
      <x:c r="U16" s="20" t="str">
        <x:v>2026-06-08</x:v>
      </x:c>
      <x:c r="V16" s="18" t="str">
        <x:v>MIT</x:v>
      </x:c>
    </x:row>
    <x:row r="17" ht="58" customHeight="1">
      <x:c r="A17" s="20" t="n">
        <x:v>13</x:v>
      </x:c>
      <x:c r="B17" s="20" t="str">
        <x:v>GH-03-0013</x:v>
      </x:c>
      <x:c r="C17" s="19" t="str">
        <x:v>dblp-search</x:v>
      </x:c>
      <x:c r="D17" s="19" t="str">
        <x:v>DBLP 计算机文献检索</x:v>
      </x:c>
      <x:c r="E17" s="19" t="str">
        <x:v>通过 DBLP API 查询计算机科学出版物、作者和会场。</x:v>
      </x:c>
      <x:c r="F17" s="19" t="str">
        <x:v>https://github.com/beita6969/ScienceClaw/blob/main/skills/dblp-search/SKILL.md</x:v>
      </x:c>
      <x:c r="G17" s="19" t="str">
        <x:v>beita6969/ScienceClaw</x:v>
      </x:c>
      <x:c r="H17" s="19" t="str">
        <x:v>https://github.com/beita6969/ScienceClaw</x:v>
      </x:c>
      <x:c r="I17" s="19" t="str">
        <x:v>其他明确命名生态（OpenClaw）</x:v>
      </x:c>
      <x:c r="J17" s="19" t="str">
        <x:v>社区 skill、开源仓库</x:v>
      </x:c>
      <x:c r="K17" s="19" t="str">
        <x:v>DBLP、计算机科学、作者、会议、期刊</x:v>
      </x:c>
      <x:c r="L17" s="19" t="str">
        <x:v>计算机类学生、科研人员、图书馆人员</x:v>
      </x:c>
      <x:c r="M17" s="19" t="str">
        <x:v>CS 文献检索、作者消歧、会议论文集核对</x:v>
      </x:c>
      <x:c r="N17" s="21" t="str">
        <x:v>B</x:v>
      </x:c>
      <x:c r="O17" s="19" t="str">
        <x:v>映射到 Codex HTTP 请求或 find-papers 脚本。</x:v>
      </x:c>
      <x:c r="P17" s="19" t="str">
        <x:v>DBLP API</x:v>
      </x:c>
      <x:c r="Q17" s="19" t="str">
        <x:v>作者同名和会场别名需要进一步处理。</x:v>
      </x:c>
      <x:c r="R17" s="21" t="str">
        <x:v>说明已核验</x:v>
      </x:c>
      <x:c r="S17" s="21" t="str">
        <x:v>中</x:v>
      </x:c>
      <x:c r="T17" s="20" t="n">
        <x:v>872</x:v>
      </x:c>
      <x:c r="U17" s="20" t="str">
        <x:v>2026-06-08</x:v>
      </x:c>
      <x:c r="V17" s="18" t="str">
        <x:v>MIT</x:v>
      </x:c>
    </x:row>
    <x:row r="18" ht="58" customHeight="1">
      <x:c r="A18" s="20" t="n">
        <x:v>14</x:v>
      </x:c>
      <x:c r="B18" s="20" t="str">
        <x:v>GH-03-0014</x:v>
      </x:c>
      <x:c r="C18" s="19" t="str">
        <x:v>openalex-search</x:v>
      </x:c>
      <x:c r="D18" s="19" t="str">
        <x:v>OpenAlex 开放学术图谱检索</x:v>
      </x:c>
      <x:c r="E18" s="19" t="str">
        <x:v>通过 OpenAlex 查询论文、作者、机构和开放引文数据。</x:v>
      </x:c>
      <x:c r="F18" s="19" t="str">
        <x:v>https://github.com/beita6969/ScienceClaw/blob/main/skills/openalex-search/SKILL.md</x:v>
      </x:c>
      <x:c r="G18" s="19" t="str">
        <x:v>beita6969/ScienceClaw</x:v>
      </x:c>
      <x:c r="H18" s="19" t="str">
        <x:v>https://github.com/beita6969/ScienceClaw</x:v>
      </x:c>
      <x:c r="I18" s="19" t="str">
        <x:v>其他明确命名生态（OpenClaw）</x:v>
      </x:c>
      <x:c r="J18" s="19" t="str">
        <x:v>社区 skill、开源仓库</x:v>
      </x:c>
      <x:c r="K18" s="19" t="str">
        <x:v>OpenAlex、作者、机构、概念、开放引文</x:v>
      </x:c>
      <x:c r="L18" s="19" t="str">
        <x:v>科研人员、图书馆人员、科研管理人员</x:v>
      </x:c>
      <x:c r="M18" s="19" t="str">
        <x:v>机构科研分析、作者画像、主题与引文网络</x:v>
      </x:c>
      <x:c r="N18" s="21" t="str">
        <x:v>B</x:v>
      </x:c>
      <x:c r="O18" s="19" t="str">
        <x:v>映射到 paper-lookup 或直接 OpenAlex API。</x:v>
      </x:c>
      <x:c r="P18" s="19" t="str">
        <x:v>OpenAlex API</x:v>
      </x:c>
      <x:c r="Q18" s="19" t="str">
        <x:v>实体消歧和概念标签并非人工权威分类。</x:v>
      </x:c>
      <x:c r="R18" s="21" t="str">
        <x:v>说明已核验</x:v>
      </x:c>
      <x:c r="S18" s="21" t="str">
        <x:v>高</x:v>
      </x:c>
      <x:c r="T18" s="20" t="n">
        <x:v>872</x:v>
      </x:c>
      <x:c r="U18" s="20" t="str">
        <x:v>2026-06-08</x:v>
      </x:c>
      <x:c r="V18" s="18" t="str">
        <x:v>MIT</x:v>
      </x:c>
    </x:row>
    <x:row r="19" ht="58" customHeight="1">
      <x:c r="A19" s="20" t="n">
        <x:v>15</x:v>
      </x:c>
      <x:c r="B19" s="20" t="str">
        <x:v>GH-03-0015</x:v>
      </x:c>
      <x:c r="C19" s="19" t="str">
        <x:v>semantic-scholar</x:v>
      </x:c>
      <x:c r="D19" s="19" t="str">
        <x:v>Semantic Scholar 引文图谱</x:v>
      </x:c>
      <x:c r="E19" s="19" t="str">
        <x:v>跨学科检索 Semantic Scholar 并遍历引用和参考文献。</x:v>
      </x:c>
      <x:c r="F19" s="19" t="str">
        <x:v>https://github.com/beita6969/ScienceClaw/blob/main/skills/semantic-scholar/SKILL.md</x:v>
      </x:c>
      <x:c r="G19" s="19" t="str">
        <x:v>beita6969/ScienceClaw</x:v>
      </x:c>
      <x:c r="H19" s="19" t="str">
        <x:v>https://github.com/beita6969/ScienceClaw</x:v>
      </x:c>
      <x:c r="I19" s="19" t="str">
        <x:v>其他明确命名生态（OpenClaw）</x:v>
      </x:c>
      <x:c r="J19" s="19" t="str">
        <x:v>社区 skill、开源仓库</x:v>
      </x:c>
      <x:c r="K19" s="19" t="str">
        <x:v>Semantic Scholar、引文图、作者、推荐、文献计量</x:v>
      </x:c>
      <x:c r="L19" s="19" t="str">
        <x:v>学生、科研人员、图书馆人员</x:v>
      </x:c>
      <x:c r="M19" s="19" t="str">
        <x:v>种子论文扩展、相关论文推荐、引文网络</x:v>
      </x:c>
      <x:c r="N19" s="21" t="str">
        <x:v>B</x:v>
      </x:c>
      <x:c r="O19" s="19" t="str">
        <x:v>映射到 paper-lookup 或 Semantic Scholar API。</x:v>
      </x:c>
      <x:c r="P19" s="19" t="str">
        <x:v>Semantic Scholar API；高频请求可能需要密钥</x:v>
      </x:c>
      <x:c r="Q19" s="19" t="str">
        <x:v>引用数和论文合并记录会更新，不能作为唯一评价依据。</x:v>
      </x:c>
      <x:c r="R19" s="21" t="str">
        <x:v>说明已核验</x:v>
      </x:c>
      <x:c r="S19" s="21" t="str">
        <x:v>高</x:v>
      </x:c>
      <x:c r="T19" s="20" t="n">
        <x:v>872</x:v>
      </x:c>
      <x:c r="U19" s="20" t="str">
        <x:v>2026-06-08</x:v>
      </x:c>
      <x:c r="V19" s="18" t="str">
        <x:v>MIT</x:v>
      </x:c>
    </x:row>
    <x:row r="20" ht="58" customHeight="1">
      <x:c r="A20" s="20" t="n">
        <x:v>16</x:v>
      </x:c>
      <x:c r="B20" s="20" t="str">
        <x:v>GH-03-0016</x:v>
      </x:c>
      <x:c r="C20" s="19" t="str">
        <x:v>lit-synthesizer</x:v>
      </x:c>
      <x:c r="D20" s="19" t="str">
        <x:v>文献搜索与引用图综合</x:v>
      </x:c>
      <x:c r="E20" s="19" t="str">
        <x:v>搜索 PubMed 和 bioRxiv，生成摘要、引用图和综述段落。</x:v>
      </x:c>
      <x:c r="F20" s="19" t="str">
        <x:v>https://github.com/beita6969/ScienceClaw/blob/main/skills/lit-synthesizer/SKILL.md</x:v>
      </x:c>
      <x:c r="G20" s="19" t="str">
        <x:v>beita6969/ScienceClaw</x:v>
      </x:c>
      <x:c r="H20" s="19" t="str">
        <x:v>https://github.com/beita6969/ScienceClaw</x:v>
      </x:c>
      <x:c r="I20" s="19" t="str">
        <x:v>其他明确命名生态（OpenClaw）</x:v>
      </x:c>
      <x:c r="J20" s="19" t="str">
        <x:v>社区 skill、开源仓库</x:v>
      </x:c>
      <x:c r="K20" s="19" t="str">
        <x:v>PubMed、bioRxiv、摘要、引用图、综述段落</x:v>
      </x:c>
      <x:c r="L20" s="19" t="str">
        <x:v>科研人员、研究生</x:v>
      </x:c>
      <x:c r="M20" s="19" t="str">
        <x:v>快速主题扫描、综述草稿和引用关系探索</x:v>
      </x:c>
      <x:c r="N20" s="21" t="str">
        <x:v>C</x:v>
      </x:c>
      <x:c r="O20" s="19" t="str">
        <x:v>需要确认仓库列出的脚本和模型依赖；可拆分成独立阶段。</x:v>
      </x:c>
      <x:c r="P20" s="19" t="str">
        <x:v>Python、学术 API、LLM</x:v>
      </x:c>
      <x:c r="Q20" s="19" t="str">
        <x:v>端到端自动化容易把摘要错误传播到综述文本。</x:v>
      </x:c>
      <x:c r="R20" s="21" t="str">
        <x:v>说明已核验</x:v>
      </x:c>
      <x:c r="S20" s="21" t="str">
        <x:v>中</x:v>
      </x:c>
      <x:c r="T20" s="20" t="n">
        <x:v>872</x:v>
      </x:c>
      <x:c r="U20" s="20" t="str">
        <x:v>2026-06-08</x:v>
      </x:c>
      <x:c r="V20" s="18" t="str">
        <x:v>MIT</x:v>
      </x:c>
    </x:row>
    <x:row r="21" ht="58" customHeight="1">
      <x:c r="A21" s="20" t="n">
        <x:v>17</x:v>
      </x:c>
      <x:c r="B21" s="20" t="str">
        <x:v>GH-03-0017</x:v>
      </x:c>
      <x:c r="C21" s="19" t="str">
        <x:v>meta-analysis</x:v>
      </x:c>
      <x:c r="D21" s="19" t="str">
        <x:v>定量 Meta 分析</x:v>
      </x:c>
      <x:c r="E21" s="19" t="str">
        <x:v>合并多项研究并进行定量 Meta 分析。</x:v>
      </x:c>
      <x:c r="F21" s="19" t="str">
        <x:v>https://github.com/beita6969/ScienceClaw/blob/main/skills/meta-analysis/SKILL.md</x:v>
      </x:c>
      <x:c r="G21" s="19" t="str">
        <x:v>beita6969/ScienceClaw</x:v>
      </x:c>
      <x:c r="H21" s="19" t="str">
        <x:v>https://github.com/beita6969/ScienceClaw</x:v>
      </x:c>
      <x:c r="I21" s="19" t="str">
        <x:v>其他明确命名生态（OpenClaw）</x:v>
      </x:c>
      <x:c r="J21" s="19" t="str">
        <x:v>社区 skill、开源仓库</x:v>
      </x:c>
      <x:c r="K21" s="19" t="str">
        <x:v>效应量、森林图、漏斗图、异质性、发表偏倚</x:v>
      </x:c>
      <x:c r="L21" s="19" t="str">
        <x:v>科研人员、研究生</x:v>
      </x:c>
      <x:c r="M21" s="19" t="str">
        <x:v>系统综述定量综合、教学演示和分析计划</x:v>
      </x:c>
      <x:c r="N21" s="21" t="str">
        <x:v>B</x:v>
      </x:c>
      <x:c r="O21" s="19" t="str">
        <x:v>将统计实现映射到 statsmodels/R 等可验证工具并保存数据表。</x:v>
      </x:c>
      <x:c r="P21" s="19" t="str">
        <x:v>统计计算库和结构化研究数据</x:v>
      </x:c>
      <x:c r="Q21" s="19" t="str">
        <x:v>模型选择和研究可比性必须由研究者判断。</x:v>
      </x:c>
      <x:c r="R21" s="21" t="str">
        <x:v>说明已核验</x:v>
      </x:c>
      <x:c r="S21" s="21" t="str">
        <x:v>高</x:v>
      </x:c>
      <x:c r="T21" s="20" t="n">
        <x:v>872</x:v>
      </x:c>
      <x:c r="U21" s="20" t="str">
        <x:v>2026-06-08</x:v>
      </x:c>
      <x:c r="V21" s="18" t="str">
        <x:v>MIT</x:v>
      </x:c>
    </x:row>
    <x:row r="22" ht="58" customHeight="1">
      <x:c r="A22" s="20" t="n">
        <x:v>18</x:v>
      </x:c>
      <x:c r="B22" s="20" t="str">
        <x:v>GH-03-0018</x:v>
      </x:c>
      <x:c r="C22" s="19" t="str">
        <x:v>asreview-screening</x:v>
      </x:c>
      <x:c r="D22" s="19" t="str">
        <x:v>ASReview 文献筛选</x:v>
      </x:c>
      <x:c r="E22" s="19" t="str">
        <x:v>使用 ASReview 主动学习为系统综述优先排序题录。</x:v>
      </x:c>
      <x:c r="F22" s="19" t="str">
        <x:v>https://github.com/beita6969/ScienceClaw/blob/main/skills/asreview-screening/SKILL.md</x:v>
      </x:c>
      <x:c r="G22" s="19" t="str">
        <x:v>beita6969/ScienceClaw</x:v>
      </x:c>
      <x:c r="H22" s="19" t="str">
        <x:v>https://github.com/beita6969/ScienceClaw</x:v>
      </x:c>
      <x:c r="I22" s="19" t="str">
        <x:v>其他明确命名生态（OpenClaw）</x:v>
      </x:c>
      <x:c r="J22" s="19" t="str">
        <x:v>社区 skill、开源仓库</x:v>
      </x:c>
      <x:c r="K22" s="19" t="str">
        <x:v>系统综述、主动学习、题录筛选、纳排</x:v>
      </x:c>
      <x:c r="L22" s="19" t="str">
        <x:v>科研人员、研究生、图书馆人员</x:v>
      </x:c>
      <x:c r="M22" s="19" t="str">
        <x:v>系统综述标题摘要筛选、优先阅读排序</x:v>
      </x:c>
      <x:c r="N22" s="21" t="str">
        <x:v>C</x:v>
      </x:c>
      <x:c r="O22" s="19" t="str">
        <x:v>安装 ASReview 后使用；保留人工纳排标准和双人复核。</x:v>
      </x:c>
      <x:c r="P22" s="19" t="str">
        <x:v>ASReview、题录数据集</x:v>
      </x:c>
      <x:c r="Q22" s="19" t="str">
        <x:v>主动学习可能漏掉少数类型研究，停止规则需预先定义。</x:v>
      </x:c>
      <x:c r="R22" s="21" t="str">
        <x:v>说明已核验</x:v>
      </x:c>
      <x:c r="S22" s="21" t="str">
        <x:v>中</x:v>
      </x:c>
      <x:c r="T22" s="20" t="n">
        <x:v>872</x:v>
      </x:c>
      <x:c r="U22" s="20" t="str">
        <x:v>2026-06-08</x:v>
      </x:c>
      <x:c r="V22" s="18" t="str">
        <x:v>MIT</x:v>
      </x:c>
    </x:row>
    <x:row r="23" ht="58" customHeight="1">
      <x:c r="A23" s="20" t="n">
        <x:v>19</x:v>
      </x:c>
      <x:c r="B23" s="20" t="str">
        <x:v>GH-03-0019</x:v>
      </x:c>
      <x:c r="C23" s="19" t="str">
        <x:v>academic-deep-research</x:v>
      </x:c>
      <x:c r="D23" s="19" t="str">
        <x:v>可复现深度学术调研</x:v>
      </x:c>
      <x:c r="E23" s="19" t="str">
        <x:v>以公开方法和多轮检索开展深度研究。</x:v>
      </x:c>
      <x:c r="F23" s="19" t="str">
        <x:v>https://github.com/beita6969/ScienceClaw/blob/main/skills/academic-deep-research/SKILL.md</x:v>
      </x:c>
      <x:c r="G23" s="19" t="str">
        <x:v>beita6969/ScienceClaw</x:v>
      </x:c>
      <x:c r="H23" s="19" t="str">
        <x:v>https://github.com/beita6969/ScienceClaw</x:v>
      </x:c>
      <x:c r="I23" s="19" t="str">
        <x:v>其他明确命名生态（OpenClaw）</x:v>
      </x:c>
      <x:c r="J23" s="19" t="str">
        <x:v>社区 skill、开源仓库、可移植工作流</x:v>
      </x:c>
      <x:c r="K23" s="19" t="str">
        <x:v>深度调研、双循环检索、证据层级、用户检查点</x:v>
      </x:c>
      <x:c r="L23" s="19" t="str">
        <x:v>科研人员、学生、行政研究人员</x:v>
      </x:c>
      <x:c r="M23" s="19" t="str">
        <x:v>背景调研、政策简报、复杂主题综述</x:v>
      </x:c>
      <x:c r="N23" s="21" t="str">
        <x:v>C</x:v>
      </x:c>
      <x:c r="O23" s="19" t="str">
        <x:v>将 OpenClaw 原生工具替换为 Codex 搜索与读取工具。</x:v>
      </x:c>
      <x:c r="P23" s="19" t="str">
        <x:v>web_search、web_fetch、会话并行工具</x:v>
      </x:c>
      <x:c r="Q23" s="19" t="str">
        <x:v>范围较宽，若问题界定不清会产生大量低价值材料。</x:v>
      </x:c>
      <x:c r="R23" s="21" t="str">
        <x:v>说明已核验</x:v>
      </x:c>
      <x:c r="S23" s="21" t="str">
        <x:v>中</x:v>
      </x:c>
      <x:c r="T23" s="20" t="n">
        <x:v>872</x:v>
      </x:c>
      <x:c r="U23" s="20" t="str">
        <x:v>2026-06-08</x:v>
      </x:c>
      <x:c r="V23" s="18" t="str">
        <x:v>MIT</x:v>
      </x:c>
    </x:row>
    <x:row r="24" ht="58" customHeight="1">
      <x:c r="A24" s="20" t="n">
        <x:v>20</x:v>
      </x:c>
      <x:c r="B24" s="20" t="str">
        <x:v>GH-03-0020</x:v>
      </x:c>
      <x:c r="C24" s="19" t="str">
        <x:v>paper-analysis</x:v>
      </x:c>
      <x:c r="D24" s="19" t="str">
        <x:v>科学论文阅读与批判分析</x:v>
      </x:c>
      <x:c r="E24" s="19" t="str">
        <x:v>读取、摘要并批判性分析科学论文。</x:v>
      </x:c>
      <x:c r="F24" s="19" t="str">
        <x:v>https://github.com/beita6969/ScienceClaw/blob/main/skills/paper-analysis/SKILL.md</x:v>
      </x:c>
      <x:c r="G24" s="19" t="str">
        <x:v>beita6969/ScienceClaw</x:v>
      </x:c>
      <x:c r="H24" s="19" t="str">
        <x:v>https://github.com/beita6969/ScienceClaw</x:v>
      </x:c>
      <x:c r="I24" s="19" t="str">
        <x:v>其他明确命名生态（OpenClaw）</x:v>
      </x:c>
      <x:c r="J24" s="19" t="str">
        <x:v>社区 skill、开源仓库</x:v>
      </x:c>
      <x:c r="K24" s="19" t="str">
        <x:v>论文阅读、摘要、方法、局限、贡献</x:v>
      </x:c>
      <x:c r="L24" s="19" t="str">
        <x:v>学生、教学人员、科研人员</x:v>
      </x:c>
      <x:c r="M24" s="19" t="str">
        <x:v>课程阅读、组会准备、方法比较和数据提取</x:v>
      </x:c>
      <x:c r="N24" s="21" t="str">
        <x:v>B</x:v>
      </x:c>
      <x:c r="O24" s="19" t="str">
        <x:v>替换论文获取工具；保留快速与深度两级输出。</x:v>
      </x:c>
      <x:c r="P24" s="19" t="str">
        <x:v>PDF/URL/DOI 获取工具</x:v>
      </x:c>
      <x:c r="Q24" s="19" t="str">
        <x:v>仅凭摘要不能完成方法和局限分析。</x:v>
      </x:c>
      <x:c r="R24" s="21" t="str">
        <x:v>说明已核验</x:v>
      </x:c>
      <x:c r="S24" s="21" t="str">
        <x:v>高</x:v>
      </x:c>
      <x:c r="T24" s="20" t="n">
        <x:v>872</x:v>
      </x:c>
      <x:c r="U24" s="20" t="str">
        <x:v>2026-06-08</x:v>
      </x:c>
      <x:c r="V24" s="18" t="str">
        <x:v>MIT</x:v>
      </x:c>
    </x:row>
    <x:row r="25" ht="58" customHeight="1">
      <x:c r="A25" s="20" t="n">
        <x:v>21</x:v>
      </x:c>
      <x:c r="B25" s="20" t="str">
        <x:v>GH-03-0021</x:v>
      </x:c>
      <x:c r="C25" s="19" t="str">
        <x:v>systematic-review</x:v>
      </x:c>
      <x:c r="D25" s="19" t="str">
        <x:v>PRISMA 系统综述编排</x:v>
      </x:c>
      <x:c r="E25" s="19" t="str">
        <x:v>按 PRISMA 2020 编排系统综述与 Meta 分析流程。</x:v>
      </x:c>
      <x:c r="F25" s="19" t="str">
        <x:v>https://github.com/beita6969/ScienceClaw/blob/main/skills/systematic-review/SKILL.md</x:v>
      </x:c>
      <x:c r="G25" s="19" t="str">
        <x:v>beita6969/ScienceClaw</x:v>
      </x:c>
      <x:c r="H25" s="19" t="str">
        <x:v>https://github.com/beita6969/ScienceClaw</x:v>
      </x:c>
      <x:c r="I25" s="19" t="str">
        <x:v>其他明确命名生态（OpenClaw）</x:v>
      </x:c>
      <x:c r="J25" s="19" t="str">
        <x:v>社区 skill、开源仓库</x:v>
      </x:c>
      <x:c r="K25" s="19" t="str">
        <x:v>PRISMA、协议、检索、筛选、提取、证据综合</x:v>
      </x:c>
      <x:c r="L25" s="19" t="str">
        <x:v>科研人员、研究生、图书馆人员</x:v>
      </x:c>
      <x:c r="M25" s="19" t="str">
        <x:v>系统综述、范围综述、证据综合项目管理</x:v>
      </x:c>
      <x:c r="N25" s="21" t="str">
        <x:v>B</x:v>
      </x:c>
      <x:c r="O25" s="19" t="str">
        <x:v>将子技能和工具路由映射到本知识库候选。</x:v>
      </x:c>
      <x:c r="P25" s="19" t="str">
        <x:v>多个检索、筛选、提取和统计子技能</x:v>
      </x:c>
      <x:c r="Q25" s="19" t="str">
        <x:v>PRISMA 报告合规不等于方法质量；协议应预先确定。</x:v>
      </x:c>
      <x:c r="R25" s="21" t="str">
        <x:v>说明已核验</x:v>
      </x:c>
      <x:c r="S25" s="21" t="str">
        <x:v>高</x:v>
      </x:c>
      <x:c r="T25" s="20" t="n">
        <x:v>872</x:v>
      </x:c>
      <x:c r="U25" s="20" t="str">
        <x:v>2026-06-08</x:v>
      </x:c>
      <x:c r="V25" s="18" t="str">
        <x:v>MIT</x:v>
      </x:c>
    </x:row>
    <x:row r="26" ht="58" customHeight="1">
      <x:c r="A26" s="20" t="n">
        <x:v>22</x:v>
      </x:c>
      <x:c r="B26" s="20" t="str">
        <x:v>GH-03-0022</x:v>
      </x:c>
      <x:c r="C26" s="19" t="str">
        <x:v>academic-search</x:v>
      </x:c>
      <x:c r="D26" s="19" t="str">
        <x:v>多平台学术检索框架</x:v>
      </x:c>
      <x:c r="E26" s="19" t="str">
        <x:v>以平台选择矩阵和分层策略组织学术搜索。</x:v>
      </x:c>
      <x:c r="F26" s="19" t="str">
        <x:v>https://github.com/ustc-ai4science/academic-search/blob/main/SKILL.md</x:v>
      </x:c>
      <x:c r="G26" s="19" t="str">
        <x:v>ustc-ai4science/academic-search</x:v>
      </x:c>
      <x:c r="H26" s="19" t="str">
        <x:v>https://github.com/ustc-ai4science/academic-search</x:v>
      </x:c>
      <x:c r="I26" s="19" t="str">
        <x:v>OpenAI Codex、Anthropic Claude Code</x:v>
      </x:c>
      <x:c r="J26" s="19" t="str">
        <x:v>社区 skill、开源仓库</x:v>
      </x:c>
      <x:c r="K26" s="19" t="str">
        <x:v>学术检索、平台选择、检索策略、中文指南</x:v>
      </x:c>
      <x:c r="L26" s="19" t="str">
        <x:v>学生、科研人员、图书馆人员</x:v>
      </x:c>
      <x:c r="M26" s="19" t="str">
        <x:v>跨学科文献查找、检索策略教学和复杂查询规划</x:v>
      </x:c>
      <x:c r="N26" s="21" t="str">
        <x:v>A</x:v>
      </x:c>
      <x:c r="O26" s="19" t="str">
        <x:v>可直接使用；按学校订购数据库补充入口。</x:v>
      </x:c>
      <x:c r="P26" s="19" t="str">
        <x:v>网络检索；仓库包含可选脚本和参考资源</x:v>
      </x:c>
      <x:c r="Q26" s="19" t="str">
        <x:v>不同平台访问权限不同，搜索结果需保留来源。</x:v>
      </x:c>
      <x:c r="R26" s="21" t="str">
        <x:v>二级包内容验证</x:v>
      </x:c>
      <x:c r="S26" s="21" t="str">
        <x:v>高</x:v>
      </x:c>
      <x:c r="T26" s="20" t="n">
        <x:v>532</x:v>
      </x:c>
      <x:c r="U26" s="20" t="str">
        <x:v>2026-07-05</x:v>
      </x:c>
      <x:c r="V26" s="18" t="str">
        <x:v>MIT</x:v>
      </x:c>
    </x:row>
    <x:row r="27" ht="58" customHeight="1">
      <x:c r="A27" s="20" t="n">
        <x:v>23</x:v>
      </x:c>
      <x:c r="B27" s="20" t="str">
        <x:v>GH-03-0023</x:v>
      </x:c>
      <x:c r="C27" s="19" t="str">
        <x:v>litdb</x:v>
      </x:c>
      <x:c r="D27" s="19" t="str">
        <x:v>本地文献与文档数据库</x:v>
      </x:c>
      <x:c r="E27" s="19" t="str">
        <x:v>使用 litdb 建立并查询本地科研文献与文档数据库。</x:v>
      </x:c>
      <x:c r="F27" s="19" t="str">
        <x:v>https://github.com/jkitchin/litdb/blob/main/SKILL.md</x:v>
      </x:c>
      <x:c r="G27" s="19" t="str">
        <x:v>jkitchin/litdb</x:v>
      </x:c>
      <x:c r="H27" s="19" t="str">
        <x:v>https://github.com/jkitchin/litdb</x:v>
      </x:c>
      <x:c r="I27" s="19" t="str">
        <x:v>生态中立 / MCP</x:v>
      </x:c>
      <x:c r="J27" s="19" t="str">
        <x:v>社区 skill、开源仓库</x:v>
      </x:c>
      <x:c r="K27" s="19" t="str">
        <x:v>文献数据库、文档索引、MCP、全文检索、研究资料</x:v>
      </x:c>
      <x:c r="L27" s="19" t="str">
        <x:v>科研人员、研究生、图书馆人员</x:v>
      </x:c>
      <x:c r="M27" s="19" t="str">
        <x:v>个人或课题组文献库、本地全文检索和研究记录</x:v>
      </x:c>
      <x:c r="N27" s="21" t="str">
        <x:v>C</x:v>
      </x:c>
      <x:c r="O27" s="19" t="str">
        <x:v>部署 litdb 与 MCP 后接入；也可借鉴其数据模型。</x:v>
      </x:c>
      <x:c r="P27" s="19" t="str">
        <x:v>litdb 软件、数据库和 MCP 服务</x:v>
      </x:c>
      <x:c r="Q27" s="19" t="str">
        <x:v>需要维护本地索引与附件；导入版权受限全文时需遵守许可。</x:v>
      </x:c>
      <x:c r="R27" s="21" t="str">
        <x:v>二级包内容验证</x:v>
      </x:c>
      <x:c r="S27" s="21" t="str">
        <x:v>中</x:v>
      </x:c>
      <x:c r="T27" s="20" t="n">
        <x:v>83</x:v>
      </x:c>
      <x:c r="U27" s="20" t="str">
        <x:v>2026-04-07</x:v>
      </x:c>
      <x:c r="V27" s="18" t="str">
        <x:v>MIT</x:v>
      </x:c>
    </x:row>
    <x:row r="28" ht="58" customHeight="1">
      <x:c r="A28" s="20" t="n">
        <x:v>24</x:v>
      </x:c>
      <x:c r="B28" s="20" t="str">
        <x:v>GH-03-0024</x:v>
      </x:c>
      <x:c r="C28" s="19" t="str">
        <x:v>find-papers</x:v>
      </x:c>
      <x:c r="D28" s="19" t="str">
        <x:v>免密钥多源论文检索</x:v>
      </x:c>
      <x:c r="E28" s="19" t="str">
        <x:v>无需 API 密钥跨四个来源搜索论文、作者、会场和引文。</x:v>
      </x:c>
      <x:c r="F28" s="19" t="str">
        <x:v>https://github.com/ShaishavMaisuria/research-paper-lifecycle-skills/blob/main/skills/find-papers/SKILL.md</x:v>
      </x:c>
      <x:c r="G28" s="19" t="str">
        <x:v>ShaishavMaisuria/research-paper-lifecycle-skills</x:v>
      </x:c>
      <x:c r="H28" s="19" t="str">
        <x:v>https://github.com/ShaishavMaisuria/research-paper-lifecycle-skills</x:v>
      </x:c>
      <x:c r="I28" s="19" t="str">
        <x:v>Agent Skills</x:v>
      </x:c>
      <x:c r="J28" s="19" t="str">
        <x:v>社区 skill、开源仓库</x:v>
      </x:c>
      <x:c r="K28" s="19" t="str">
        <x:v>DBLP、Crossref、Semantic Scholar、arXiv、会场别名</x:v>
      </x:c>
      <x:c r="L28" s="19" t="str">
        <x:v>学生、科研人员、图书馆人员</x:v>
      </x:c>
      <x:c r="M28" s="19" t="str">
        <x:v>CS 与跨学科检索、会议论文集、种子论文扩展</x:v>
      </x:c>
      <x:c r="N28" s="21" t="str">
        <x:v>B</x:v>
      </x:c>
      <x:c r="O28" s="19" t="str">
        <x:v>引入仓库脚本并按 Codex 路径调整。</x:v>
      </x:c>
      <x:c r="P28" s="19" t="str">
        <x:v>Python 标准库脚本；公开学术 API</x:v>
      </x:c>
      <x:c r="Q28" s="19" t="str">
        <x:v>公共 API 可能限流，引用数跨平台不可直接比较。</x:v>
      </x:c>
      <x:c r="R28" s="21" t="str">
        <x:v>二级包内容验证</x:v>
      </x:c>
      <x:c r="S28" s="21" t="str">
        <x:v>高</x:v>
      </x:c>
      <x:c r="T28" s="20" t="n">
        <x:v>21</x:v>
      </x:c>
      <x:c r="U28" s="20" t="str">
        <x:v>2026-06-27</x:v>
      </x:c>
      <x:c r="V28" s="18" t="str">
        <x:v>Apache-2.0</x:v>
      </x:c>
    </x:row>
    <x:row r="29" ht="58" customHeight="1">
      <x:c r="A29" s="20" t="n">
        <x:v>25</x:v>
      </x:c>
      <x:c r="B29" s="20" t="str">
        <x:v>GH-03-0025</x:v>
      </x:c>
      <x:c r="C29" s="19" t="str">
        <x:v>fetch-paper</x:v>
      </x:c>
      <x:c r="D29" s="19" t="str">
        <x:v>合法开放全文获取</x:v>
      </x:c>
      <x:c r="E29" s="19" t="str">
        <x:v>为已识别论文寻找并获取合法开放全文。</x:v>
      </x:c>
      <x:c r="F29" s="19" t="str">
        <x:v>https://github.com/ShaishavMaisuria/research-paper-lifecycle-skills/blob/main/skills/fetch-paper/SKILL.md</x:v>
      </x:c>
      <x:c r="G29" s="19" t="str">
        <x:v>ShaishavMaisuria/research-paper-lifecycle-skills</x:v>
      </x:c>
      <x:c r="H29" s="19" t="str">
        <x:v>https://github.com/ShaishavMaisuria/research-paper-lifecycle-skills</x:v>
      </x:c>
      <x:c r="I29" s="19" t="str">
        <x:v>Agent Skills</x:v>
      </x:c>
      <x:c r="J29" s="19" t="str">
        <x:v>社区 skill、开源仓库</x:v>
      </x:c>
      <x:c r="K29" s="19" t="str">
        <x:v>开放获取、全文、PDF、合法来源</x:v>
      </x:c>
      <x:c r="L29" s="19" t="str">
        <x:v>学生、科研人员、图书馆人员</x:v>
      </x:c>
      <x:c r="M29" s="19" t="str">
        <x:v>获取可读全文、综述语料准备、论文阅读</x:v>
      </x:c>
      <x:c r="N29" s="21" t="str">
        <x:v>B</x:v>
      </x:c>
      <x:c r="O29" s="19" t="str">
        <x:v>映射到 Unpaywall、PMC、arXiv 等允许来源。</x:v>
      </x:c>
      <x:c r="P29" s="19" t="str">
        <x:v>公开全文服务；可选 PDF 工具</x:v>
      </x:c>
      <x:c r="Q29" s="19" t="str">
        <x:v>不能绕过付费墙或许可；下载版本需与引用版本对应。</x:v>
      </x:c>
      <x:c r="R29" s="21" t="str">
        <x:v>说明已核验</x:v>
      </x:c>
      <x:c r="S29" s="21" t="str">
        <x:v>高</x:v>
      </x:c>
      <x:c r="T29" s="20" t="n">
        <x:v>21</x:v>
      </x:c>
      <x:c r="U29" s="20" t="str">
        <x:v>2026-06-27</x:v>
      </x:c>
      <x:c r="V29" s="18" t="str">
        <x:v>Apache-2.0</x:v>
      </x:c>
    </x:row>
    <x:row r="30" ht="58" customHeight="1">
      <x:c r="A30" s="20" t="n">
        <x:v>26</x:v>
      </x:c>
      <x:c r="B30" s="20" t="str">
        <x:v>GH-03-0026</x:v>
      </x:c>
      <x:c r="C30" s="19" t="str">
        <x:v>literature-review</x:v>
      </x:c>
      <x:c r="D30" s="19" t="str">
        <x:v>可核验引文的主题综述</x:v>
      </x:c>
      <x:c r="E30" s="19" t="str">
        <x:v>构建每个主张都绑定已核验来源的结构化文献综述。</x:v>
      </x:c>
      <x:c r="F30" s="19" t="str">
        <x:v>https://github.com/ShaishavMaisuria/research-paper-lifecycle-skills/blob/main/skills/literature-review/SKILL.md</x:v>
      </x:c>
      <x:c r="G30" s="19" t="str">
        <x:v>ShaishavMaisuria/research-paper-lifecycle-skills</x:v>
      </x:c>
      <x:c r="H30" s="19" t="str">
        <x:v>https://github.com/ShaishavMaisuria/research-paper-lifecycle-skills</x:v>
      </x:c>
      <x:c r="I30" s="19" t="str">
        <x:v>Agent Skills</x:v>
      </x:c>
      <x:c r="J30" s="19" t="str">
        <x:v>社区 skill、开源仓库</x:v>
      </x:c>
      <x:c r="K30" s="19" t="str">
        <x:v>主题综述、筛选语料、主张锚点、引用门</x:v>
      </x:c>
      <x:c r="L30" s="19" t="str">
        <x:v>科研人员、研究生</x:v>
      </x:c>
      <x:c r="M30" s="19" t="str">
        <x:v>论文综述章节、主题研究、相关工作全景</x:v>
      </x:c>
      <x:c r="N30" s="21" t="str">
        <x:v>B</x:v>
      </x:c>
      <x:c r="O30" s="19" t="str">
        <x:v>需要同仓库检索与引用验证技能协同。</x:v>
      </x:c>
      <x:c r="P30" s="19" t="str">
        <x:v>多个兄弟 skill 与本地检查脚本</x:v>
      </x:c>
      <x:c r="Q30" s="19" t="str">
        <x:v>综述范围和纳排标准仍需研究者预先确定。</x:v>
      </x:c>
      <x:c r="R30" s="21" t="str">
        <x:v>说明已核验</x:v>
      </x:c>
      <x:c r="S30" s="21" t="str">
        <x:v>高</x:v>
      </x:c>
      <x:c r="T30" s="20" t="n">
        <x:v>21</x:v>
      </x:c>
      <x:c r="U30" s="20" t="str">
        <x:v>2026-06-27</x:v>
      </x:c>
      <x:c r="V30" s="18" t="str">
        <x:v>Apache-2.0</x:v>
      </x:c>
    </x:row>
    <x:row r="31" ht="58" customHeight="1">
      <x:c r="A31" s="20" t="n">
        <x:v>27</x:v>
      </x:c>
      <x:c r="B31" s="20" t="str">
        <x:v>GH-03-0027</x:v>
      </x:c>
      <x:c r="C31" s="19" t="str">
        <x:v>draft-survey</x:v>
      </x:c>
      <x:c r="D31" s="19" t="str">
        <x:v>阅读清单与综述论文草稿</x:v>
      </x:c>
      <x:c r="E31" s="19" t="str">
        <x:v>把主题转为排序阅读清单和双栏综述草稿。</x:v>
      </x:c>
      <x:c r="F31" s="19" t="str">
        <x:v>https://github.com/ShaishavMaisuria/research-paper-lifecycle-skills/blob/main/skills/draft-survey/SKILL.md</x:v>
      </x:c>
      <x:c r="G31" s="19" t="str">
        <x:v>ShaishavMaisuria/research-paper-lifecycle-skills</x:v>
      </x:c>
      <x:c r="H31" s="19" t="str">
        <x:v>https://github.com/ShaishavMaisuria/research-paper-lifecycle-skills</x:v>
      </x:c>
      <x:c r="I31" s="19" t="str">
        <x:v>Agent Skills</x:v>
      </x:c>
      <x:c r="J31" s="19" t="str">
        <x:v>社区 skill、开源仓库</x:v>
      </x:c>
      <x:c r="K31" s="19" t="str">
        <x:v>阅读清单、论文排序、主题分类、综述草稿</x:v>
      </x:c>
      <x:c r="L31" s="19" t="str">
        <x:v>科研人员、研究生</x:v>
      </x:c>
      <x:c r="M31" s="19" t="str">
        <x:v>快速进入新领域、课程阅读清单、综述论文初稿</x:v>
      </x:c>
      <x:c r="N31" s="21" t="str">
        <x:v>B</x:v>
      </x:c>
      <x:c r="O31" s="19" t="str">
        <x:v>复用搜索与引文核验兄弟 skill；排名指标按学科调整。</x:v>
      </x:c>
      <x:c r="P31" s="19" t="str">
        <x:v>find-papers、verify-citations、LaTeX</x:v>
      </x:c>
      <x:c r="Q31" s="19" t="str">
        <x:v>引用量排序可能偏向老论文，不能替代内容相关性判断。</x:v>
      </x:c>
      <x:c r="R31" s="21" t="str">
        <x:v>说明已核验</x:v>
      </x:c>
      <x:c r="S31" s="21" t="str">
        <x:v>高</x:v>
      </x:c>
      <x:c r="T31" s="20" t="n">
        <x:v>21</x:v>
      </x:c>
      <x:c r="U31" s="20" t="str">
        <x:v>2026-06-27</x:v>
      </x:c>
      <x:c r="V31" s="18" t="str">
        <x:v>Apache-2.0</x:v>
      </x:c>
    </x:row>
    <x:row r="32" ht="58" customHeight="1">
      <x:c r="A32" s="20" t="n">
        <x:v>28</x:v>
      </x:c>
      <x:c r="B32" s="20" t="str">
        <x:v>GH-03-0028</x:v>
      </x:c>
      <x:c r="C32" s="19" t="str">
        <x:v>verify-claims</x:v>
      </x:c>
      <x:c r="D32" s="19" t="str">
        <x:v>论文关键主张核验</x:v>
      </x:c>
      <x:c r="E32" s="19" t="str">
        <x:v>把论文中的关键主张与结果、表格、图形和引文逐项核对。</x:v>
      </x:c>
      <x:c r="F32" s="19" t="str">
        <x:v>https://github.com/ShaishavMaisuria/research-paper-lifecycle-skills/blob/main/skills/verify-claims/SKILL.md</x:v>
      </x:c>
      <x:c r="G32" s="19" t="str">
        <x:v>ShaishavMaisuria/research-paper-lifecycle-skills</x:v>
      </x:c>
      <x:c r="H32" s="19" t="str">
        <x:v>https://github.com/ShaishavMaisuria/research-paper-lifecycle-skills</x:v>
      </x:c>
      <x:c r="I32" s="19" t="str">
        <x:v>Agent Skills</x:v>
      </x:c>
      <x:c r="J32" s="19" t="str">
        <x:v>社区 skill、开源仓库</x:v>
      </x:c>
      <x:c r="K32" s="19" t="str">
        <x:v>主张审计、结果、表格、图形、过度推断</x:v>
      </x:c>
      <x:c r="L32" s="19" t="str">
        <x:v>科研人员、研究生、教学人员</x:v>
      </x:c>
      <x:c r="M32" s="19" t="str">
        <x:v>投稿前主张审计、结果一致性和过度推断检查</x:v>
      </x:c>
      <x:c r="N32" s="21" t="str">
        <x:v>B</x:v>
      </x:c>
      <x:c r="O32" s="19" t="str">
        <x:v>接入本地稿件和证据清单即可；避免上传敏感材料。</x:v>
      </x:c>
      <x:c r="P32" s="19" t="str">
        <x:v>稿件、结果表、图形和引用证据</x:v>
      </x:c>
      <x:c r="Q32" s="19" t="str">
        <x:v>核验质量取决于能否访问完整实验记录。</x:v>
      </x:c>
      <x:c r="R32" s="21" t="str">
        <x:v>说明已核验</x:v>
      </x:c>
      <x:c r="S32" s="21" t="str">
        <x:v>高</x:v>
      </x:c>
      <x:c r="T32" s="20" t="n">
        <x:v>21</x:v>
      </x:c>
      <x:c r="U32" s="20" t="str">
        <x:v>2026-06-27</x:v>
      </x:c>
      <x:c r="V32" s="18" t="str">
        <x:v>Apache-2.0</x:v>
      </x:c>
    </x:row>
    <x:row r="33" ht="58" customHeight="1">
      <x:c r="A33" s="20" t="n">
        <x:v>29</x:v>
      </x:c>
      <x:c r="B33" s="20" t="str">
        <x:v>GH-03-0029</x:v>
      </x:c>
      <x:c r="C33" s="19" t="str">
        <x:v>Search SOP</x:v>
      </x:c>
      <x:c r="D33" s="19" t="str">
        <x:v>文献检索标准操作规程</x:v>
      </x:c>
      <x:c r="E33" s="19" t="str">
        <x:v>以标准操作规程组织分层文献搜索。</x:v>
      </x:c>
      <x:c r="F33" s="19" t="str">
        <x:v>https://github.com/wentorai/Research-Claw/blob/main/skills/search-sop/SKILL.md</x:v>
      </x:c>
      <x:c r="G33" s="19" t="str">
        <x:v>wentorai/Research-Claw</x:v>
      </x:c>
      <x:c r="H33" s="19" t="str">
        <x:v>https://github.com/wentorai/Research-Claw</x:v>
      </x:c>
      <x:c r="I33" s="19" t="str">
        <x:v>其他明确命名生态（Research-Claw）</x:v>
      </x:c>
      <x:c r="J33" s="19" t="str">
        <x:v>社区 skill、开源仓库、可移植工作流</x:v>
      </x:c>
      <x:c r="K33" s="19" t="str">
        <x:v>三层检索、参考管理器、数据库、网络搜索</x:v>
      </x:c>
      <x:c r="L33" s="19" t="str">
        <x:v>科研人员、学生、图书馆人员</x:v>
      </x:c>
      <x:c r="M33" s="19" t="str">
        <x:v>课题组统一检索规范、综述检索培训</x:v>
      </x:c>
      <x:c r="N33" s="21" t="str">
        <x:v>C</x:v>
      </x:c>
      <x:c r="O33" s="19" t="str">
        <x:v>把 Research-Claw 工具名替换为现有搜索和文献管理工具。</x:v>
      </x:c>
      <x:c r="P33" s="19" t="str">
        <x:v>本地参考管理器、数据库和网络搜索</x:v>
      </x:c>
      <x:c r="Q33" s="19" t="str">
        <x:v>仓库许可证未明确；工具路线较多需按任务裁剪。</x:v>
      </x:c>
      <x:c r="R33" s="21" t="str">
        <x:v>说明已核验</x:v>
      </x:c>
      <x:c r="S33" s="21" t="str">
        <x:v>中</x:v>
      </x:c>
      <x:c r="T33" s="20" t="n">
        <x:v>849</x:v>
      </x:c>
      <x:c r="U33" s="20" t="str">
        <x:v>2026-08-01</x:v>
      </x:c>
      <x:c r="V33" s="18" t="str">
        <x:v>未明确</x:v>
      </x:c>
    </x:row>
    <x:row r="34" ht="58" customHeight="1">
      <x:c r="A34" s="20" t="n">
        <x:v>30</x:v>
      </x:c>
      <x:c r="B34" s="20" t="str">
        <x:v>GH-03-0030</x:v>
      </x:c>
      <x:c r="C34" s="19" t="str">
        <x:v>Survey SOP</x:v>
      </x:c>
      <x:c r="D34" s="19" t="str">
        <x:v>综述深读与综合规程</x:v>
      </x:c>
      <x:c r="E34" s="19" t="str">
        <x:v>规范主题综述中的范围、深读、证据提取和综合步骤。</x:v>
      </x:c>
      <x:c r="F34" s="19" t="str">
        <x:v>https://github.com/wentorai/Research-Claw/blob/main/skills/survey-sop/SKILL.md</x:v>
      </x:c>
      <x:c r="G34" s="19" t="str">
        <x:v>wentorai/Research-Claw</x:v>
      </x:c>
      <x:c r="H34" s="19" t="str">
        <x:v>https://github.com/wentorai/Research-Claw</x:v>
      </x:c>
      <x:c r="I34" s="19" t="str">
        <x:v>其他明确命名生态（Research-Claw）</x:v>
      </x:c>
      <x:c r="J34" s="19" t="str">
        <x:v>社区 skill、开源仓库、可移植工作流</x:v>
      </x:c>
      <x:c r="K34" s="19" t="str">
        <x:v>综述、深度阅读、阅读分级、综合</x:v>
      </x:c>
      <x:c r="L34" s="19" t="str">
        <x:v>科研人员、研究生</x:v>
      </x:c>
      <x:c r="M34" s="19" t="str">
        <x:v>综述写作、读书会、研究领域进入</x:v>
      </x:c>
      <x:c r="N34" s="21" t="str">
        <x:v>C</x:v>
      </x:c>
      <x:c r="O34" s="19" t="str">
        <x:v>保留方法框架，替换 Research-Claw 调度与存储路径。</x:v>
      </x:c>
      <x:c r="P34" s="19" t="str">
        <x:v>Research-Claw 工作流</x:v>
      </x:c>
      <x:c r="Q34" s="19" t="str">
        <x:v>仓库许可证未明确；需要与具体检索和引用工具配套。</x:v>
      </x:c>
      <x:c r="R34" s="21" t="str">
        <x:v>说明已核验</x:v>
      </x:c>
      <x:c r="S34" s="21" t="str">
        <x:v>中</x:v>
      </x:c>
      <x:c r="T34" s="20" t="n">
        <x:v>849</x:v>
      </x:c>
      <x:c r="U34" s="20" t="str">
        <x:v>2026-08-01</x:v>
      </x:c>
      <x:c r="V34" s="18" t="str">
        <x:v>未明确</x:v>
      </x:c>
    </x:row>
    <x:row r="35" ht="58" customHeight="1">
      <x:c r="A35" s="20" t="n">
        <x:v>31</x:v>
      </x:c>
      <x:c r="B35" s="20" t="str">
        <x:v>GH-03-0031</x:v>
      </x:c>
      <x:c r="C35" s="19" t="str">
        <x:v>slr-prisma</x:v>
      </x:c>
      <x:c r="D35" s="19" t="str">
        <x:v>PRISMA 2020 系统综述向导</x:v>
      </x:c>
      <x:c r="E35" s="19" t="str">
        <x:v>按 PRISMA 2020 引导用户完成系统文献综述。</x:v>
      </x:c>
      <x:c r="F35" s="19" t="str">
        <x:v>https://github.com/keemanxp/slr-prisma/blob/main/SKILL.md</x:v>
      </x:c>
      <x:c r="G35" s="19" t="str">
        <x:v>keemanxp/slr-prisma</x:v>
      </x:c>
      <x:c r="H35" s="19" t="str">
        <x:v>https://github.com/keemanxp/slr-prisma</x:v>
      </x:c>
      <x:c r="I35" s="19" t="str">
        <x:v>Anthropic Claude Code / Agent Skills</x:v>
      </x:c>
      <x:c r="J35" s="19" t="str">
        <x:v>社区 skill、开源仓库</x:v>
      </x:c>
      <x:c r="K35" s="19" t="str">
        <x:v>PRISMA 2020、系统综述、纳排、流程图、APA</x:v>
      </x:c>
      <x:c r="L35" s="19" t="str">
        <x:v>科研人员、研究生、教学人员</x:v>
      </x:c>
      <x:c r="M35" s="19" t="str">
        <x:v>系统综述课程、毕业论文、PRISMA 报告审计</x:v>
      </x:c>
      <x:c r="N35" s="21" t="str">
        <x:v>B</x:v>
      </x:c>
      <x:c r="O35" s="19" t="str">
        <x:v>替换 Claude 专用工具路径，并与本地 docx 生成技能协同。</x:v>
      </x:c>
      <x:c r="P35" s="19" t="str">
        <x:v>Word/图表生成工具；用户提供筛选数据</x:v>
      </x:c>
      <x:c r="Q35" s="19" t="str">
        <x:v>仓库许可证未明确；PRISMA 合规不等于检索全面。</x:v>
      </x:c>
      <x:c r="R35" s="21" t="str">
        <x:v>说明已核验</x:v>
      </x:c>
      <x:c r="S35" s="21" t="str">
        <x:v>高</x:v>
      </x:c>
      <x:c r="T35" s="20" t="n">
        <x:v>90</x:v>
      </x:c>
      <x:c r="U35" s="20" t="str">
        <x:v>2026-03-28</x:v>
      </x:c>
      <x:c r="V35" s="18" t="str">
        <x:v>未明确</x:v>
      </x:c>
    </x:row>
  </x:sheetData>
  <x:mergeCells>
    <x:mergeCell ref="A1:V1"/>
    <x:mergeCell ref="A2:V2"/>
  </x:mergeCells>
  <x:conditionalFormatting sqref="N5:N35">
    <x:cfRule type="cellIs" dxfId="0" priority="1" operator="equal">
      <x:formula>"A"</x:formula>
    </x:cfRule>
    <x:cfRule type="cellIs" dxfId="1" priority="2" operator="equal">
      <x:formula>"B"</x:formula>
    </x:cfRule>
    <x:cfRule type="cellIs" dxfId="2" priority="3" operator="equal">
      <x:formula>"C"</x:formula>
    </x:cfRule>
  </x:conditionalFormatting>
  <x:conditionalFormatting sqref="S5:S35">
    <x:cfRule type="cellIs" dxfId="3" priority="4" operator="equal">
      <x:formula>"高"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8bfc9cfaeb41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6" max="6" width="46" hidden="0" customWidth="1"/>
    <x:col min="7" max="7" width="12" hidden="0" customWidth="1"/>
  </x:cols>
  <x:sheetData>
    <x:row r="1">
      <x:c r="A1" s="16" t="str">
        <x:v>文献检索与学术研究｜结构统计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3">
      <x:c r="A3" s="9" t="str">
        <x:v>核心指标</x:v>
      </x:c>
      <x:c r="B3" s="9" t="str">
        <x:v>数量</x:v>
      </x:c>
      <x:c r="F3" s="9" t="str">
        <x:v>独立标注的生态</x:v>
      </x:c>
      <x:c r="G3" s="9" t="str">
        <x:v>数量</x:v>
      </x:c>
    </x:row>
    <x:row r="4">
      <x:c r="A4" s="10" t="str">
        <x:v>入选Skill</x:v>
      </x:c>
      <x:c r="B4" s="22" t="n">
        <x:f>COUNTA('Skill总表'!$B$5:$B$35)</x:f>
        <x:v>31</x:v>
      </x:c>
      <x:c r="F4" s="10" t="str">
        <x:v>Agent Skills</x:v>
      </x:c>
      <x:c r="G4" s="22" t="n">
        <x:f>COUNTIF('Skill总表'!$I$5:$I$35,F4)</x:f>
        <x:v>5</x:v>
      </x:c>
    </x:row>
    <x:row r="5">
      <x:c r="A5" s="10" t="str">
        <x:v>优先级：高</x:v>
      </x:c>
      <x:c r="B5" s="22" t="n">
        <x:f>COUNTIF('Skill总表'!$S$5:$S$35,"高")</x:f>
        <x:v>16</x:v>
      </x:c>
      <x:c r="F5" s="10" t="str">
        <x:v>Agent Skills（兼容 Codex）</x:v>
      </x:c>
      <x:c r="G5" s="22" t="n">
        <x:f>COUNTIF('Skill总表'!$I$5:$I$35,F5)</x:f>
        <x:v>8</x:v>
      </x:c>
    </x:row>
    <x:row r="6">
      <x:c r="A6" s="10" t="str">
        <x:v>优先级：中</x:v>
      </x:c>
      <x:c r="B6" s="22" t="n">
        <x:f>COUNTIF('Skill总表'!$S$5:$S$35,"中")</x:f>
        <x:v>15</x:v>
      </x:c>
      <x:c r="F6" s="10" t="str">
        <x:v>Anthropic Claude Code / Agent Skills</x:v>
      </x:c>
      <x:c r="G6" s="22" t="n">
        <x:f>COUNTIF('Skill总表'!$I$5:$I$35,F6)</x:f>
        <x:v>1</x:v>
      </x:c>
    </x:row>
    <x:row r="7">
      <x:c r="A7" s="10" t="str">
        <x:v>二级包内容验证</x:v>
      </x:c>
      <x:c r="B7" s="22" t="n">
        <x:f>COUNTIF('Skill总表'!$R$5:$R$35,"二级包内容验证")</x:f>
        <x:v>5</x:v>
      </x:c>
      <x:c r="F7" s="10" t="str">
        <x:v>OpenAI Codex、Anthropic Claude Code</x:v>
      </x:c>
      <x:c r="G7" s="22" t="n">
        <x:f>COUNTIF('Skill总表'!$I$5:$I$35,F7)</x:f>
        <x:v>1</x:v>
      </x:c>
    </x:row>
    <x:row r="8">
      <x:c r="A8" s="10" t="str">
        <x:v>说明已核验</x:v>
      </x:c>
      <x:c r="B8" s="22" t="n">
        <x:f>COUNTIF('Skill总表'!$R$5:$R$35,"说明已核验")</x:f>
        <x:v>26</x:v>
      </x:c>
      <x:c r="F8" s="10" t="str">
        <x:v>其他明确命名生态（OpenClaw）</x:v>
      </x:c>
      <x:c r="G8" s="22" t="n">
        <x:f>COUNTIF('Skill总表'!$I$5:$I$35,F8)</x:f>
        <x:v>13</x:v>
      </x:c>
    </x:row>
    <x:row r="9">
      <x:c r="A9" s="10" t="str">
        <x:v>独立仓库</x:v>
      </x:c>
      <x:c r="B9" s="22" t="n">
        <x:f>COUNTA('来源清单'!$A$5:$A$11)</x:f>
        <x:v>7</x:v>
      </x:c>
      <x:c r="F9" s="10" t="str">
        <x:v>其他明确命名生态（Research-Claw）</x:v>
      </x:c>
      <x:c r="G9" s="22" t="n">
        <x:f>COUNTIF('Skill总表'!$I$5:$I$35,F9)</x:f>
        <x:v>2</x:v>
      </x:c>
    </x:row>
    <x:row r="10">
      <x:c r="B10" s="23"/>
      <x:c r="F10" s="10" t="str">
        <x:v>生态中立 / MCP</x:v>
      </x:c>
      <x:c r="G10" s="22" t="n">
        <x:f>COUNTIF('Skill总表'!$I$5:$I$35,F10)</x:f>
        <x:v>1</x:v>
      </x:c>
    </x:row>
    <x:row r="11">
      <x:c r="B11" s="23"/>
    </x:row>
    <x:row r="12">
      <x:c r="A12" s="9" t="str">
        <x:v>兼容等级</x:v>
      </x:c>
      <x:c r="B12" s="24" t="str">
        <x:v>数量</x:v>
      </x:c>
    </x:row>
    <x:row r="13">
      <x:c r="A13" s="10" t="str">
        <x:v>A</x:v>
      </x:c>
      <x:c r="B13" s="22" t="n">
        <x:f>COUNTIF('Skill总表'!$N$5:$N$35,"A")</x:f>
        <x:v>6</x:v>
      </x:c>
    </x:row>
    <x:row r="14">
      <x:c r="A14" s="10" t="str">
        <x:v>B</x:v>
      </x:c>
      <x:c r="B14" s="22" t="n">
        <x:f>COUNTIF('Skill总表'!$N$5:$N$35,"B")</x:f>
        <x:v>14</x:v>
      </x:c>
    </x:row>
    <x:row r="15">
      <x:c r="A15" s="10" t="str">
        <x:v>C</x:v>
      </x:c>
      <x:c r="B15" s="22" t="n">
        <x:f>COUNTIF('Skill总表'!$N$5:$N$35,"C")</x:f>
        <x:v>11</x:v>
      </x:c>
    </x:row>
    <x:row r="16">
      <x:c r="A16" s="10" t="str">
        <x:v>D</x:v>
      </x:c>
      <x:c r="B16" s="22" t="n">
        <x:f>COUNTIF('Skill总表'!$N$5:$N$35,"D")</x:f>
        <x:v>0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f14d1bd695d6402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0" hidden="0" customWidth="1"/>
    <x:col min="3" max="3" width="12" hidden="0" customWidth="1"/>
    <x:col min="4" max="4" width="15" hidden="0" customWidth="1"/>
    <x:col min="5" max="5" width="22" hidden="0" customWidth="1"/>
    <x:col min="6" max="6" width="14" hidden="0" customWidth="1"/>
    <x:col min="7" max="7" width="34" hidden="0" customWidth="1"/>
  </x:cols>
  <x:sheetData>
    <x:row r="1">
      <x:c r="A1" s="16" t="str">
        <x:v>文献检索与学术研究｜GitHub 来源清单</x:v>
      </x:c>
      <x:c r="B1" s="16"/>
      <x:c r="C1" s="16"/>
      <x:c r="D1" s="16"/>
      <x:c r="E1" s="16"/>
      <x:c r="F1" s="16"/>
      <x:c r="G1" s="16"/>
    </x:row>
    <x:row r="2">
      <x:c r="A2" s="5" t="str">
        <x:v>同一仓库可能包含多个入选 skill；许可证需以具体目录和当前仓库文件为准。</x:v>
      </x:c>
      <x:c r="B2" s="5"/>
      <x:c r="C2" s="5"/>
      <x:c r="D2" s="5"/>
      <x:c r="E2" s="5"/>
      <x:c r="F2" s="5"/>
      <x:c r="G2" s="5"/>
    </x:row>
    <x:row r="4">
      <x:c r="A4" s="15" t="str">
        <x:v>GitHub仓库</x:v>
      </x:c>
      <x:c r="B4" s="15" t="str">
        <x:v>仓库地址</x:v>
      </x:c>
      <x:c r="C4" s="15" t="str">
        <x:v>Stars</x:v>
      </x:c>
      <x:c r="D4" s="15" t="str">
        <x:v>最近推送</x:v>
      </x:c>
      <x:c r="E4" s="15" t="str">
        <x:v>许可证</x:v>
      </x:c>
      <x:c r="F4" s="15" t="str">
        <x:v>入选Skill数</x:v>
      </x:c>
      <x:c r="G4" s="15" t="str">
        <x:v>来源形态</x:v>
      </x:c>
    </x:row>
    <x:row r="5">
      <x:c r="A5" s="19" t="str">
        <x:v>K-Dense-AI/scientific-agent-skills</x:v>
      </x:c>
      <x:c r="B5" s="19" t="str">
        <x:v>https://github.com/K-Dense-AI/scientific-agent-skills</x:v>
      </x:c>
      <x:c r="C5" s="19" t="n">
        <x:v>32811</x:v>
      </x:c>
      <x:c r="D5" s="19" t="str">
        <x:v>2026-08-03</x:v>
      </x:c>
      <x:c r="E5" s="19" t="str">
        <x:v>MIT</x:v>
      </x:c>
      <x:c r="F5" s="19" t="n">
        <x:f>COUNTIF('Skill总表'!$G$5:$G$35,A5)</x:f>
        <x:v>8</x:v>
      </x:c>
      <x:c r="G5" s="19" t="str">
        <x:v>社区 skill、开源仓库</x:v>
      </x:c>
    </x:row>
    <x:row r="6">
      <x:c r="A6" s="19" t="str">
        <x:v>ShaishavMaisuria/research-paper-lifecycle-skills</x:v>
      </x:c>
      <x:c r="B6" s="19" t="str">
        <x:v>https://github.com/ShaishavMaisuria/research-paper-lifecycle-skills</x:v>
      </x:c>
      <x:c r="C6" s="19" t="n">
        <x:v>21</x:v>
      </x:c>
      <x:c r="D6" s="19" t="str">
        <x:v>2026-06-27</x:v>
      </x:c>
      <x:c r="E6" s="19" t="str">
        <x:v>Apache-2.0</x:v>
      </x:c>
      <x:c r="F6" s="19" t="n">
        <x:f>COUNTIF('Skill总表'!$G$5:$G$35,A6)</x:f>
        <x:v>5</x:v>
      </x:c>
      <x:c r="G6" s="19" t="str">
        <x:v>社区 skill、开源仓库</x:v>
      </x:c>
    </x:row>
    <x:row r="7">
      <x:c r="A7" s="19" t="str">
        <x:v>beita6969/ScienceClaw</x:v>
      </x:c>
      <x:c r="B7" s="19" t="str">
        <x:v>https://github.com/beita6969/ScienceClaw</x:v>
      </x:c>
      <x:c r="C7" s="19" t="n">
        <x:v>872</x:v>
      </x:c>
      <x:c r="D7" s="19" t="str">
        <x:v>2026-06-08</x:v>
      </x:c>
      <x:c r="E7" s="19" t="str">
        <x:v>MIT</x:v>
      </x:c>
      <x:c r="F7" s="19" t="n">
        <x:f>COUNTIF('Skill总表'!$G$5:$G$35,A7)</x:f>
        <x:v>13</x:v>
      </x:c>
      <x:c r="G7" s="19" t="str">
        <x:v>社区 skill、开源仓库</x:v>
      </x:c>
    </x:row>
    <x:row r="8">
      <x:c r="A8" s="19" t="str">
        <x:v>jkitchin/litdb</x:v>
      </x:c>
      <x:c r="B8" s="19" t="str">
        <x:v>https://github.com/jkitchin/litdb</x:v>
      </x:c>
      <x:c r="C8" s="19" t="n">
        <x:v>83</x:v>
      </x:c>
      <x:c r="D8" s="19" t="str">
        <x:v>2026-04-07</x:v>
      </x:c>
      <x:c r="E8" s="19" t="str">
        <x:v>MIT</x:v>
      </x:c>
      <x:c r="F8" s="19" t="n">
        <x:f>COUNTIF('Skill总表'!$G$5:$G$35,A8)</x:f>
        <x:v>1</x:v>
      </x:c>
      <x:c r="G8" s="19" t="str">
        <x:v>社区 skill、开源仓库</x:v>
      </x:c>
    </x:row>
    <x:row r="9">
      <x:c r="A9" s="19" t="str">
        <x:v>keemanxp/slr-prisma</x:v>
      </x:c>
      <x:c r="B9" s="19" t="str">
        <x:v>https://github.com/keemanxp/slr-prisma</x:v>
      </x:c>
      <x:c r="C9" s="19" t="n">
        <x:v>90</x:v>
      </x:c>
      <x:c r="D9" s="19" t="str">
        <x:v>2026-03-28</x:v>
      </x:c>
      <x:c r="E9" s="19" t="str">
        <x:v>未明确</x:v>
      </x:c>
      <x:c r="F9" s="19" t="n">
        <x:f>COUNTIF('Skill总表'!$G$5:$G$35,A9)</x:f>
        <x:v>1</x:v>
      </x:c>
      <x:c r="G9" s="19" t="str">
        <x:v>社区 skill、开源仓库</x:v>
      </x:c>
    </x:row>
    <x:row r="10">
      <x:c r="A10" s="19" t="str">
        <x:v>ustc-ai4science/academic-search</x:v>
      </x:c>
      <x:c r="B10" s="19" t="str">
        <x:v>https://github.com/ustc-ai4science/academic-search</x:v>
      </x:c>
      <x:c r="C10" s="19" t="n">
        <x:v>532</x:v>
      </x:c>
      <x:c r="D10" s="19" t="str">
        <x:v>2026-07-05</x:v>
      </x:c>
      <x:c r="E10" s="19" t="str">
        <x:v>MIT</x:v>
      </x:c>
      <x:c r="F10" s="19" t="n">
        <x:f>COUNTIF('Skill总表'!$G$5:$G$35,A10)</x:f>
        <x:v>1</x:v>
      </x:c>
      <x:c r="G10" s="19" t="str">
        <x:v>社区 skill、开源仓库</x:v>
      </x:c>
    </x:row>
    <x:row r="11">
      <x:c r="A11" s="19" t="str">
        <x:v>wentorai/Research-Claw</x:v>
      </x:c>
      <x:c r="B11" s="19" t="str">
        <x:v>https://github.com/wentorai/Research-Claw</x:v>
      </x:c>
      <x:c r="C11" s="19" t="n">
        <x:v>849</x:v>
      </x:c>
      <x:c r="D11" s="19" t="str">
        <x:v>2026-08-01</x:v>
      </x:c>
      <x:c r="E11" s="19" t="str">
        <x:v>未明确</x:v>
      </x:c>
      <x:c r="F11" s="19" t="n">
        <x:f>COUNTIF('Skill总表'!$G$5:$G$35,A11)</x:f>
        <x:v>2</x:v>
      </x:c>
      <x:c r="G11" s="19" t="str">
        <x:v>社区 skill、开源仓库、可移植工作流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2009bd81ff04dbf"/>
  </x:tableParts>
</x:worksheet>
</file>