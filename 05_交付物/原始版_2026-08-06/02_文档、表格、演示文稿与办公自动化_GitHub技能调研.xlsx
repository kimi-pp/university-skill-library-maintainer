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37cea73f349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14da6fb618a40d3"/>
    <x:sheet xmlns:r="http://schemas.openxmlformats.org/officeDocument/2006/relationships" name="Skill总表" sheetId="2" r:id="Re71579709b874b44"/>
    <x:sheet xmlns:r="http://schemas.openxmlformats.org/officeDocument/2006/relationships" name="分类统计" sheetId="3" r:id="Rb40c178dbefd4b1b"/>
    <x:sheet xmlns:r="http://schemas.openxmlformats.org/officeDocument/2006/relationships" name="来源清单" sheetId="4" r:id="Ra9c1554e11894c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b/>
      <x:sz val="18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0"/>
      </x:patternFill>
    </x:fill>
    <x:fill>
      <x:patternFill patternType="solid">
        <x:fgColor rgb="FF1F6F8B"/>
      </x:patternFill>
    </x:fill>
    <x:fill>
      <x:patternFill patternType="solid">
        <x:fgColor rgb="FFF4F7F9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3" fillId="4" borderId="1" xfId="0" applyNumberFormat="1" applyFont="1" applyFill="1" applyBorder="1"/>
  </x:cellXfs>
  <x:cellStyles count="1">
    <x:cellStyle name="Normal" xfId="0"/>
  </x:cellStyles>
  <x:dxfs count="4">
    <x:dxf>
      <x:font>
        <x:b/>
        <x:color rgb="FF16324F"/>
      </x:font>
      <x:fill>
        <x:patternFill patternType="solid">
          <x:bgColor rgb="FFDDF3E4"/>
        </x:patternFill>
      </x:fill>
    </x:dxf>
    <x:dxf>
      <x:fill>
        <x:patternFill patternType="solid">
          <x:bgColor rgb="FFDCEAF0"/>
        </x:patternFill>
      </x:fill>
    </x:dxf>
    <x:dxf>
      <x:fill>
        <x:patternFill patternType="solid">
          <x:bgColor rgb="FFFFF0C7"/>
        </x:patternFill>
      </x:fill>
    </x:dxf>
    <x:dxf>
      <x:font>
        <x:b/>
      </x:font>
      <x:fill>
        <x:patternFill patternType="solid">
          <x:bgColor rgb="FFDDF3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5d1be7dfd54011" /><Relationship Type="http://schemas.openxmlformats.org/officeDocument/2006/relationships/theme" Target="/xl/theme/theme1.xml" Id="Rcf0828e16e52489d" /><Relationship Type="http://schemas.openxmlformats.org/officeDocument/2006/relationships/sharedStrings" Target="/xl/sharedStrings.xml" Id="Racbbd6e9cf2e4958" /><Relationship Type="http://schemas.openxmlformats.org/officeDocument/2006/relationships/worksheet" Target="/xl/worksheets/sheet1.xml" Id="R714da6fb618a40d3" /><Relationship Type="http://schemas.openxmlformats.org/officeDocument/2006/relationships/worksheet" Target="/xl/worksheets/sheet2.xml" Id="Re71579709b874b44" /><Relationship Type="http://schemas.openxmlformats.org/officeDocument/2006/relationships/worksheet" Target="/xl/worksheets/sheet3.xml" Id="Rb40c178dbefd4b1b" /><Relationship Type="http://schemas.openxmlformats.org/officeDocument/2006/relationships/worksheet" Target="/xl/worksheets/sheet4.xml" Id="Ra9c1554e11894c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f40dba721b4e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兼容等级分布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'分类统计'!$A$13:$A$16</c:f>
              <c:strCache>
                <c:ptCount val="0"/>
              </c:strCache>
            </c:strRef>
          </c:cat>
          <c:val>
            <c:numRef>
              <c:f>'分类统计'!$B$13:$B$16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f40dba721b4e1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killTable02" displayName="SkillTable02" ref="A4:V26" headerRowCount="1" totalsRowCount="0" totalsRowShown="0">
  <x:tableColumns count="22">
    <x:tableColumn id="1" name="序号"/>
    <x:tableColumn id="2" name="Skill ID"/>
    <x:tableColumn id="3" name="Skill名称"/>
    <x:tableColumn id="4" name="中文定位"/>
    <x:tableColumn id="5" name="简略功能"/>
    <x:tableColumn id="6" name="Skill地址"/>
    <x:tableColumn id="7" name="GitHub仓库"/>
    <x:tableColumn id="8" name="仓库地址"/>
    <x:tableColumn id="9" name="生态"/>
    <x:tableColumn id="10" name="来源形态"/>
    <x:tableColumn id="11" name="功能标签"/>
    <x:tableColumn id="12" name="适用角色"/>
    <x:tableColumn id="13" name="典型场景"/>
    <x:tableColumn id="14" name="兼容等级"/>
    <x:tableColumn id="15" name="适配建议"/>
    <x:tableColumn id="16" name="依赖条件"/>
    <x:tableColumn id="17" name="风险与边界"/>
    <x:tableColumn id="18" name="验证层级"/>
    <x:tableColumn id="19" name="优先级"/>
    <x:tableColumn id="20" name="Stars"/>
    <x:tableColumn id="21" name="最近推送"/>
    <x:tableColumn id="22" name="许可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Table02" displayName="SourceTable02" ref="A4:G15" headerRowCount="1" totalsRowCount="0" totalsRowShown="0">
  <x:tableColumns count="7">
    <x:tableColumn id="1" name="GitHub仓库"/>
    <x:tableColumn id="2" name="仓库地址"/>
    <x:tableColumn id="3" name="Stars"/>
    <x:tableColumn id="4" name="最近推送"/>
    <x:tableColumn id="5" name="许可证"/>
    <x:tableColumn id="6" name="入选Skill数"/>
    <x:tableColumn id="7" name="来源形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fcb4161ab647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76a0cb182cf4b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b32fe5f63a04b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28" hidden="0" customWidth="1"/>
    <x:col min="4" max="4" width="28" hidden="0" customWidth="1"/>
  </x:cols>
  <x:sheetData>
    <x:row r="1" ht="38" customHeight="1">
      <x:c r="A1" s="3" t="str">
        <x:v>文档、表格、演示文稿与办公自动化｜GitHub Skill 调研</x:v>
      </x:c>
      <x:c r="B1" s="3"/>
      <x:c r="C1" s="3"/>
      <x:c r="D1" s="3"/>
      <x:c r="E1" s="3"/>
      <x:c r="F1" s="3"/>
      <x:c r="G1" s="3"/>
      <x:c r="H1" s="3"/>
    </x:row>
    <x:row r="2">
      <x:c r="A2" s="6" t="str">
        <x:v>独立分类交付物｜仅含入选项｜数据日期 2026-08-06</x:v>
      </x:c>
      <x:c r="B2" s="6"/>
      <x:c r="C2" s="6"/>
      <x:c r="D2" s="6"/>
      <x:c r="E2" s="6"/>
      <x:c r="F2" s="6"/>
      <x:c r="G2" s="6"/>
      <x:c r="H2" s="6"/>
    </x:row>
    <x:row r="4">
      <x:c r="A4" s="9" t="str">
        <x:v>项目</x:v>
      </x:c>
      <x:c r="B4" s="9" t="str">
        <x:v>说明</x:v>
      </x:c>
    </x:row>
    <x:row r="5">
      <x:c r="A5" s="12" t="str">
        <x:v>调研范围</x:v>
      </x:c>
      <x:c r="B5" s="13" t="str">
        <x:v>仅 GitHub；其他平台与市场不在本轮交付范围</x:v>
      </x:c>
    </x:row>
    <x:row r="6">
      <x:c r="A6" s="12" t="str">
        <x:v>分类</x:v>
      </x:c>
      <x:c r="B6" s="13" t="str">
        <x:v>文档、表格、演示文稿与办公自动化</x:v>
      </x:c>
    </x:row>
    <x:row r="7">
      <x:c r="A7" s="12" t="str">
        <x:v>入选数量</x:v>
      </x:c>
      <x:c r="B7" s="13" t="n">
        <x:v>22</x:v>
      </x:c>
    </x:row>
    <x:row r="8">
      <x:c r="A8" s="12" t="str">
        <x:v>内容验证</x:v>
      </x:c>
      <x:c r="B8" s="13" t="str">
        <x:v>读取 SKILL.md/README；部分候选进一步检查脚本、references、assets 和仓库结构</x:v>
      </x:c>
    </x:row>
    <x:row r="9">
      <x:c r="A9" s="12" t="str">
        <x:v>运行验证</x:v>
      </x:c>
      <x:c r="B9" s="13" t="str">
        <x:v>未安装、未执行；仅在用户另行指令后开展</x:v>
      </x:c>
    </x:row>
    <x:row r="10">
      <x:c r="A10" s="12" t="str">
        <x:v>排除项</x:v>
      </x:c>
      <x:c r="B10" s="13" t="str">
        <x:v>不进入本表；仅保存在项目内部归档</x:v>
      </x:c>
    </x:row>
    <x:row r="12">
      <x:c r="A12" s="14" t="str">
        <x:v>兼容等级释义</x:v>
      </x:c>
      <x:c r="B12" s="14"/>
      <x:c r="C12" s="14"/>
      <x:c r="D12" s="14"/>
      <x:c r="E12" s="14"/>
      <x:c r="F12" s="14"/>
      <x:c r="G12" s="14"/>
      <x:c r="H12" s="14"/>
    </x:row>
    <x:row r="13">
      <x:c r="A13" s="15" t="str">
        <x:v>等级</x:v>
      </x:c>
      <x:c r="B13" s="15" t="str">
        <x:v>含义</x:v>
      </x:c>
      <x:c r="C13" s="15" t="str">
        <x:v>建议</x:v>
      </x:c>
      <x:c r="D13" s="15" t="str">
        <x:v>备注</x:v>
      </x:c>
    </x:row>
    <x:row r="14">
      <x:c r="A14" s="13" t="str">
        <x:v>A</x:v>
      </x:c>
      <x:c r="B14" s="13" t="str">
        <x:v>可直接按 Agent Skill/Codex skill 结构使用</x:v>
      </x:c>
      <x:c r="C14" s="13" t="str">
        <x:v>优先试点</x:v>
      </x:c>
      <x:c r="D14" s="13" t="str">
        <x:v>仍需按本校工具和制度补充配置</x:v>
      </x:c>
    </x:row>
    <x:row r="15">
      <x:c r="A15" s="13" t="str">
        <x:v>B</x:v>
      </x:c>
      <x:c r="B15" s="13" t="str">
        <x:v>核心工作流可移植，需要替换工具或路径</x:v>
      </x:c>
      <x:c r="C15" s="13" t="str">
        <x:v>列入适配队列</x:v>
      </x:c>
      <x:c r="D15" s="13" t="str">
        <x:v>通常依赖外部 API、脚本或相邻 skill</x:v>
      </x:c>
    </x:row>
    <x:row r="16">
      <x:c r="A16" s="13" t="str">
        <x:v>C</x:v>
      </x:c>
      <x:c r="B16" s="13" t="str">
        <x:v>可借鉴，但需明显重写或部署配套服务</x:v>
      </x:c>
      <x:c r="C16" s="13" t="str">
        <x:v>场景验证后再建设</x:v>
      </x:c>
      <x:c r="D16" s="13" t="str">
        <x:v>关注维护、权限与部署成本</x:v>
      </x:c>
    </x:row>
    <x:row r="17">
      <x:c r="A17" s="13" t="str">
        <x:v>D</x:v>
      </x:c>
      <x:c r="B17" s="13" t="str">
        <x:v>主要作为方法或模板参考</x:v>
      </x:c>
      <x:c r="C17" s="13" t="str">
        <x:v>按需吸收</x:v>
      </x:c>
      <x:c r="D17" s="13" t="str">
        <x:v>不建议原样接入</x:v>
      </x:c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22" hidden="0" customWidth="1"/>
    <x:col min="4" max="4" width="24" hidden="0" customWidth="1"/>
    <x:col min="5" max="5" width="42" hidden="0" customWidth="1"/>
    <x:col min="6" max="6" width="55" hidden="0" customWidth="1"/>
    <x:col min="7" max="7" width="37" hidden="0" customWidth="1"/>
    <x:col min="8" max="8" width="46" hidden="0" customWidth="1"/>
    <x:col min="9" max="9" width="30" hidden="0" customWidth="1"/>
    <x:col min="10" max="10" width="30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15" hidden="0" customWidth="1"/>
    <x:col min="19" max="19" width="15" hidden="0" customWidth="1"/>
    <x:col min="20" max="20" width="11" hidden="0" customWidth="1"/>
    <x:col min="21" max="21" width="14" hidden="0" customWidth="1"/>
    <x:col min="22" max="22" width="20" hidden="0" customWidth="1"/>
  </x:cols>
  <x:sheetData>
    <x:row r="1" ht="34" customHeight="1">
      <x:c r="A1" s="16" t="str">
        <x:v>文档、表格、演示文稿与办公自动化｜入选 Skill 总表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</x:row>
    <x:row r="2">
      <x:c r="A2" s="5" t="str">
        <x:v>共 22 项；地址为纯文本 GitHub URL；验证不含安装或运行。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</x:row>
    <x:row r="4" ht="32" customHeight="1">
      <x:c r="A4" s="15" t="str">
        <x:v>序号</x:v>
      </x:c>
      <x:c r="B4" s="15" t="str">
        <x:v>Skill ID</x:v>
      </x:c>
      <x:c r="C4" s="15" t="str">
        <x:v>Skill名称</x:v>
      </x:c>
      <x:c r="D4" s="15" t="str">
        <x:v>中文定位</x:v>
      </x:c>
      <x:c r="E4" s="15" t="str">
        <x:v>简略功能</x:v>
      </x:c>
      <x:c r="F4" s="15" t="str">
        <x:v>Skill地址</x:v>
      </x:c>
      <x:c r="G4" s="15" t="str">
        <x:v>GitHub仓库</x:v>
      </x:c>
      <x:c r="H4" s="15" t="str">
        <x:v>仓库地址</x:v>
      </x:c>
      <x:c r="I4" s="15" t="str">
        <x:v>生态</x:v>
      </x:c>
      <x:c r="J4" s="15" t="str">
        <x:v>来源形态</x:v>
      </x:c>
      <x:c r="K4" s="15" t="str">
        <x:v>功能标签</x:v>
      </x:c>
      <x:c r="L4" s="15" t="str">
        <x:v>适用角色</x:v>
      </x:c>
      <x:c r="M4" s="15" t="str">
        <x:v>典型场景</x:v>
      </x:c>
      <x:c r="N4" s="15" t="str">
        <x:v>兼容等级</x:v>
      </x:c>
      <x:c r="O4" s="15" t="str">
        <x:v>适配建议</x:v>
      </x:c>
      <x:c r="P4" s="15" t="str">
        <x:v>依赖条件</x:v>
      </x:c>
      <x:c r="Q4" s="15" t="str">
        <x:v>风险与边界</x:v>
      </x:c>
      <x:c r="R4" s="15" t="str">
        <x:v>验证层级</x:v>
      </x:c>
      <x:c r="S4" s="15" t="str">
        <x:v>优先级</x:v>
      </x:c>
      <x:c r="T4" s="15" t="str">
        <x:v>Stars</x:v>
      </x:c>
      <x:c r="U4" s="15" t="str">
        <x:v>最近推送</x:v>
      </x:c>
      <x:c r="V4" s="15" t="str">
        <x:v>许可证</x:v>
      </x:c>
    </x:row>
    <x:row r="5" ht="58" customHeight="1">
      <x:c r="A5" s="20" t="n">
        <x:v>1</x:v>
      </x:c>
      <x:c r="B5" s="20" t="str">
        <x:v>GH-02-0001</x:v>
      </x:c>
      <x:c r="C5" s="19" t="str">
        <x:v>docx</x:v>
      </x:c>
      <x:c r="D5" s="19" t="str">
        <x:v>Word 文档创建与编辑</x:v>
      </x:c>
      <x:c r="E5" s="19" t="str">
        <x:v>创建、读取、编辑和检查 Word 文档及模板。</x:v>
      </x:c>
      <x:c r="F5" s="19" t="str">
        <x:v>https://github.com/anthropics/skills/blob/main/skills/docx/SKILL.md</x:v>
      </x:c>
      <x:c r="G5" s="19" t="str">
        <x:v>anthropics/skills</x:v>
      </x:c>
      <x:c r="H5" s="19" t="str">
        <x:v>https://github.com/anthropics/skills</x:v>
      </x:c>
      <x:c r="I5" s="19" t="str">
        <x:v>Anthropic Claude Code / Agent Skills</x:v>
      </x:c>
      <x:c r="J5" s="19" t="str">
        <x:v>官方发布、开源仓库</x:v>
      </x:c>
      <x:c r="K5" s="19" t="str">
        <x:v>DOCX、Word、模板、批注、修订</x:v>
      </x:c>
      <x:c r="L5" s="19" t="str">
        <x:v>学生、教学人员、科研人员、行政人员</x:v>
      </x:c>
      <x:c r="M5" s="19" t="str">
        <x:v>报告、公文、课程材料、论文附件和模板处理</x:v>
      </x:c>
      <x:c r="N5" s="21" t="str">
        <x:v>B</x:v>
      </x:c>
      <x:c r="O5" s="19" t="str">
        <x:v>适配 Codex 的文档运行时和渲染路径；核心工作流可复用。</x:v>
      </x:c>
      <x:c r="P5" s="19" t="str">
        <x:v>Node.js/Python 与 Office 文档处理依赖</x:v>
      </x:c>
      <x:c r="Q5" s="19" t="str">
        <x:v>复杂样式和修订需渲染抽查；来源技能有目录级许可证。</x:v>
      </x:c>
      <x:c r="R5" s="21" t="str">
        <x:v>二级包内容验证</x:v>
      </x:c>
      <x:c r="S5" s="21" t="str">
        <x:v>高</x:v>
      </x:c>
      <x:c r="T5" s="20" t="n">
        <x:v>166590</x:v>
      </x:c>
      <x:c r="U5" s="20" t="str">
        <x:v>2026-07-24</x:v>
      </x:c>
      <x:c r="V5" s="18" t="str">
        <x:v>各技能目录独立许可证</x:v>
      </x:c>
    </x:row>
    <x:row r="6" ht="58" customHeight="1">
      <x:c r="A6" s="20" t="n">
        <x:v>2</x:v>
      </x:c>
      <x:c r="B6" s="20" t="str">
        <x:v>GH-02-0002</x:v>
      </x:c>
      <x:c r="C6" s="19" t="str">
        <x:v>xlsx</x:v>
      </x:c>
      <x:c r="D6" s="19" t="str">
        <x:v>电子表格创建与分析</x:v>
      </x:c>
      <x:c r="E6" s="19" t="str">
        <x:v>读取、创建、修复和验证电子表格文件。</x:v>
      </x:c>
      <x:c r="F6" s="19" t="str">
        <x:v>https://github.com/anthropics/skills/blob/main/skills/xlsx/SKILL.md</x:v>
      </x:c>
      <x:c r="G6" s="19" t="str">
        <x:v>anthropics/skills</x:v>
      </x:c>
      <x:c r="H6" s="19" t="str">
        <x:v>https://github.com/anthropics/skills</x:v>
      </x:c>
      <x:c r="I6" s="19" t="str">
        <x:v>Anthropic Claude Code / Agent Skills</x:v>
      </x:c>
      <x:c r="J6" s="19" t="str">
        <x:v>官方发布、开源仓库</x:v>
      </x:c>
      <x:c r="K6" s="19" t="str">
        <x:v>XLSX、Excel、公式、格式、图表、数据清理</x:v>
      </x:c>
      <x:c r="L6" s="19" t="str">
        <x:v>学生、教学人员、科研人员、行政人员</x:v>
      </x:c>
      <x:c r="M6" s="19" t="str">
        <x:v>成绩与调查数据、预算、统计表、业务台账</x:v>
      </x:c>
      <x:c r="N6" s="21" t="str">
        <x:v>B</x:v>
      </x:c>
      <x:c r="O6" s="19" t="str">
        <x:v>接入 Codex 电子表格依赖；保留公式重算和视觉检查门。</x:v>
      </x:c>
      <x:c r="P6" s="19" t="str">
        <x:v>Python/Node.js 表格库；公式文件需重算引擎</x:v>
      </x:c>
      <x:c r="Q6" s="19" t="str">
        <x:v>公式缓存和区域格式可能在不同软件间不一致。</x:v>
      </x:c>
      <x:c r="R6" s="21" t="str">
        <x:v>二级包内容验证</x:v>
      </x:c>
      <x:c r="S6" s="21" t="str">
        <x:v>高</x:v>
      </x:c>
      <x:c r="T6" s="20" t="n">
        <x:v>166590</x:v>
      </x:c>
      <x:c r="U6" s="20" t="str">
        <x:v>2026-07-24</x:v>
      </x:c>
      <x:c r="V6" s="18" t="str">
        <x:v>各技能目录独立许可证</x:v>
      </x:c>
    </x:row>
    <x:row r="7" ht="58" customHeight="1">
      <x:c r="A7" s="20" t="n">
        <x:v>3</x:v>
      </x:c>
      <x:c r="B7" s="20" t="str">
        <x:v>GH-02-0003</x:v>
      </x:c>
      <x:c r="C7" s="19" t="str">
        <x:v>pptx</x:v>
      </x:c>
      <x:c r="D7" s="19" t="str">
        <x:v>演示文稿创建与编辑</x:v>
      </x:c>
      <x:c r="E7" s="19" t="str">
        <x:v>创建、读取、编辑、合并和检查 PowerPoint 文件。</x:v>
      </x:c>
      <x:c r="F7" s="19" t="str">
        <x:v>https://github.com/anthropics/skills/blob/main/skills/pptx/SKILL.md</x:v>
      </x:c>
      <x:c r="G7" s="19" t="str">
        <x:v>anthropics/skills</x:v>
      </x:c>
      <x:c r="H7" s="19" t="str">
        <x:v>https://github.com/anthropics/skills</x:v>
      </x:c>
      <x:c r="I7" s="19" t="str">
        <x:v>Anthropic Claude Code / Agent Skills</x:v>
      </x:c>
      <x:c r="J7" s="19" t="str">
        <x:v>官方发布、开源仓库</x:v>
      </x:c>
      <x:c r="K7" s="19" t="str">
        <x:v>PPTX、PowerPoint、模板、讲者备注、布局</x:v>
      </x:c>
      <x:c r="L7" s="19" t="str">
        <x:v>学生、教学人员、科研人员、行政人员</x:v>
      </x:c>
      <x:c r="M7" s="19" t="str">
        <x:v>课堂展示、答辩、汇报、培训和会议材料</x:v>
      </x:c>
      <x:c r="N7" s="21" t="str">
        <x:v>B</x:v>
      </x:c>
      <x:c r="O7" s="19" t="str">
        <x:v>映射 Codex 的演示文稿依赖和渲染工具。</x:v>
      </x:c>
      <x:c r="P7" s="19" t="str">
        <x:v>PptxGenJS/Node.js 与渲染工具</x:v>
      </x:c>
      <x:c r="Q7" s="19" t="str">
        <x:v>自动布局容易产生拥挤或遮挡，必须逐页检查。</x:v>
      </x:c>
      <x:c r="R7" s="21" t="str">
        <x:v>二级包内容验证</x:v>
      </x:c>
      <x:c r="S7" s="21" t="str">
        <x:v>高</x:v>
      </x:c>
      <x:c r="T7" s="20" t="n">
        <x:v>166590</x:v>
      </x:c>
      <x:c r="U7" s="20" t="str">
        <x:v>2026-07-24</x:v>
      </x:c>
      <x:c r="V7" s="18" t="str">
        <x:v>各技能目录独立许可证</x:v>
      </x:c>
    </x:row>
    <x:row r="8" ht="58" customHeight="1">
      <x:c r="A8" s="20" t="n">
        <x:v>4</x:v>
      </x:c>
      <x:c r="B8" s="20" t="str">
        <x:v>GH-02-0004</x:v>
      </x:c>
      <x:c r="C8" s="19" t="str">
        <x:v>pdf</x:v>
      </x:c>
      <x:c r="D8" s="19" t="str">
        <x:v>PDF 综合处理（Anthropic）</x:v>
      </x:c>
      <x:c r="E8" s="19" t="str">
        <x:v>读取、生成、转换、拆分、合并和 OCR PDF。</x:v>
      </x:c>
      <x:c r="F8" s="19" t="str">
        <x:v>https://github.com/anthropics/skills/blob/main/skills/pdf/SKILL.md</x:v>
      </x:c>
      <x:c r="G8" s="19" t="str">
        <x:v>anthropics/skills</x:v>
      </x:c>
      <x:c r="H8" s="19" t="str">
        <x:v>https://github.com/anthropics/skills</x:v>
      </x:c>
      <x:c r="I8" s="19" t="str">
        <x:v>Anthropic Claude Code / Agent Skills</x:v>
      </x:c>
      <x:c r="J8" s="19" t="str">
        <x:v>官方发布、开源仓库</x:v>
      </x:c>
      <x:c r="K8" s="19" t="str">
        <x:v>PDF、提取、合并、拆分、OCR、表单</x:v>
      </x:c>
      <x:c r="L8" s="19" t="str">
        <x:v>学生、教学人员、科研人员、行政人员</x:v>
      </x:c>
      <x:c r="M8" s="19" t="str">
        <x:v>论文阅读、扫描件 OCR、材料合并与归档</x:v>
      </x:c>
      <x:c r="N8" s="21" t="str">
        <x:v>B</x:v>
      </x:c>
      <x:c r="O8" s="19" t="str">
        <x:v>使用 Codex 可用的 PDF 工具替换命令路径。</x:v>
      </x:c>
      <x:c r="P8" s="19" t="str">
        <x:v>Poppler、Python PDF/OCR 工具</x:v>
      </x:c>
      <x:c r="Q8" s="19" t="str">
        <x:v>OCR 和复杂版面可能丢失结构；加密文件需合法权限。</x:v>
      </x:c>
      <x:c r="R8" s="21" t="str">
        <x:v>说明已核验</x:v>
      </x:c>
      <x:c r="S8" s="21" t="str">
        <x:v>高</x:v>
      </x:c>
      <x:c r="T8" s="20" t="n">
        <x:v>166590</x:v>
      </x:c>
      <x:c r="U8" s="20" t="str">
        <x:v>2026-07-24</x:v>
      </x:c>
      <x:c r="V8" s="18" t="str">
        <x:v>各技能目录独立许可证</x:v>
      </x:c>
    </x:row>
    <x:row r="9" ht="58" customHeight="1">
      <x:c r="A9" s="20" t="n">
        <x:v>5</x:v>
      </x:c>
      <x:c r="B9" s="20" t="str">
        <x:v>GH-02-0005</x:v>
      </x:c>
      <x:c r="C9" s="19" t="str">
        <x:v>doc-coauthoring</x:v>
      </x:c>
      <x:c r="D9" s="19" t="str">
        <x:v>结构化文档共创</x:v>
      </x:c>
      <x:c r="E9" s="19" t="str">
        <x:v>引导用户共同撰写提案、规范、决策文档和说明材料。</x:v>
      </x:c>
      <x:c r="F9" s="19" t="str">
        <x:v>https://github.com/anthropics/skills/blob/main/skills/doc-coauthoring/SKILL.md</x:v>
      </x:c>
      <x:c r="G9" s="19" t="str">
        <x:v>anthropics/skills</x:v>
      </x:c>
      <x:c r="H9" s="19" t="str">
        <x:v>https://github.com/anthropics/skills</x:v>
      </x:c>
      <x:c r="I9" s="19" t="str">
        <x:v>Anthropic Claude Code / Agent Skills</x:v>
      </x:c>
      <x:c r="J9" s="19" t="str">
        <x:v>官方发布、开源仓库、可移植工作流</x:v>
      </x:c>
      <x:c r="K9" s="19" t="str">
        <x:v>文档共创、需求澄清、迭代、读者验证</x:v>
      </x:c>
      <x:c r="L9" s="19" t="str">
        <x:v>教学人员、科研人员、行政人员、学生</x:v>
      </x:c>
      <x:c r="M9" s="19" t="str">
        <x:v>项目方案、课程规范、制度草案和决策记录</x:v>
      </x:c>
      <x:c r="N9" s="21" t="str">
        <x:v>B</x:v>
      </x:c>
      <x:c r="O9" s="19" t="str">
        <x:v>把对话阶段直接转成 Codex 任务步骤；可与 docx skill 联用。</x:v>
      </x:c>
      <x:c r="P9" s="19" t="str">
        <x:v>无明确外部依赖</x:v>
      </x:c>
      <x:c r="Q9" s="19" t="str">
        <x:v>需要用户持续提供上下文，不适合无人监督生成正式制度。</x:v>
      </x:c>
      <x:c r="R9" s="21" t="str">
        <x:v>说明已核验</x:v>
      </x:c>
      <x:c r="S9" s="21" t="str">
        <x:v>中</x:v>
      </x:c>
      <x:c r="T9" s="20" t="n">
        <x:v>166590</x:v>
      </x:c>
      <x:c r="U9" s="20" t="str">
        <x:v>2026-07-24</x:v>
      </x:c>
      <x:c r="V9" s="18" t="str">
        <x:v>各技能目录独立许可证</x:v>
      </x:c>
    </x:row>
    <x:row r="10" ht="58" customHeight="1">
      <x:c r="A10" s="20" t="n">
        <x:v>6</x:v>
      </x:c>
      <x:c r="B10" s="20" t="str">
        <x:v>GH-02-0006</x:v>
      </x:c>
      <x:c r="C10" s="19" t="str">
        <x:v>pdf</x:v>
      </x:c>
      <x:c r="D10" s="19" t="str">
        <x:v>PDF 创建与版式核验（OpenAI）</x:v>
      </x:c>
      <x:c r="E10" s="19" t="str">
        <x:v>在 Codex 中读取、创建和审查 PDF，强调渲染核验。</x:v>
      </x:c>
      <x:c r="F10" s="19" t="str">
        <x:v>https://github.com/openai/skills/blob/main/skills/.curated/pdf/SKILL.md</x:v>
      </x:c>
      <x:c r="G10" s="19" t="str">
        <x:v>openai/skills</x:v>
      </x:c>
      <x:c r="H10" s="19" t="str">
        <x:v>https://github.com/openai/skills</x:v>
      </x:c>
      <x:c r="I10" s="19" t="str">
        <x:v>OpenAI Codex</x:v>
      </x:c>
      <x:c r="J10" s="19" t="str">
        <x:v>官方发布、开源仓库</x:v>
      </x:c>
      <x:c r="K10" s="19" t="str">
        <x:v>PDF、创建、提取、渲染、版式检查</x:v>
      </x:c>
      <x:c r="L10" s="19" t="str">
        <x:v>学生、教学人员、科研人员、行政人员</x:v>
      </x:c>
      <x:c r="M10" s="19" t="str">
        <x:v>报告导出、PDF 审阅、表格提取和页面级质量检查</x:v>
      </x:c>
      <x:c r="N10" s="21" t="str">
        <x:v>A</x:v>
      </x:c>
      <x:c r="O10" s="19" t="str">
        <x:v>可直接用于 Codex；按工作区依赖路径执行。</x:v>
      </x:c>
      <x:c r="P10" s="19" t="str">
        <x:v>Poppler 与 Python PDF 库</x:v>
      </x:c>
      <x:c r="Q10" s="19" t="str">
        <x:v>文本提取不代表版式正确，仍需渲染检查。</x:v>
      </x:c>
      <x:c r="R10" s="21" t="str">
        <x:v>二级包内容验证</x:v>
      </x:c>
      <x:c r="S10" s="21" t="str">
        <x:v>高</x:v>
      </x:c>
      <x:c r="T10" s="20" t="n">
        <x:v>24564</x:v>
      </x:c>
      <x:c r="U10" s="20" t="str">
        <x:v>2026-07-14</x:v>
      </x:c>
      <x:c r="V10" s="18" t="str">
        <x:v>各技能目录独立许可证</x:v>
      </x:c>
    </x:row>
    <x:row r="11" ht="58" customHeight="1">
      <x:c r="A11" s="20" t="n">
        <x:v>7</x:v>
      </x:c>
      <x:c r="B11" s="20" t="str">
        <x:v>GH-02-0007</x:v>
      </x:c>
      <x:c r="C11" s="19" t="str">
        <x:v>markitdown</x:v>
      </x:c>
      <x:c r="D11" s="19" t="str">
        <x:v>多格式转 Markdown</x:v>
      </x:c>
      <x:c r="E11" s="19" t="str">
        <x:v>使用 Microsoft MarkItDown 将多种文档安全转换为 Markdown。</x:v>
      </x:c>
      <x:c r="F11" s="19" t="str">
        <x:v>https://github.com/K-Dense-AI/scientific-agent-skills/blob/main/skills/markitdown/SKILL.md</x:v>
      </x:c>
      <x:c r="G11" s="19" t="str">
        <x:v>K-Dense-AI/scientific-agent-skills</x:v>
      </x:c>
      <x:c r="H11" s="19" t="str">
        <x:v>https://github.com/K-Dense-AI/scientific-agent-skills</x:v>
      </x:c>
      <x:c r="I11" s="19" t="str">
        <x:v>Agent Skills（兼容 Codex）</x:v>
      </x:c>
      <x:c r="J11" s="19" t="str">
        <x:v>社区 skill、开源仓库</x:v>
      </x:c>
      <x:c r="K11" s="19" t="str">
        <x:v>Markdown、Office、PDF、批量转换、RAG</x:v>
      </x:c>
      <x:c r="L11" s="19" t="str">
        <x:v>科研人员、学生、图书馆人员、行政人员</x:v>
      </x:c>
      <x:c r="M11" s="19" t="str">
        <x:v>资料入库、文档检索、RAG 准备和批量转换</x:v>
      </x:c>
      <x:c r="N11" s="21" t="str">
        <x:v>B</x:v>
      </x:c>
      <x:c r="O11" s="19" t="str">
        <x:v>安装对应 MarkItDown 能力或改接现有转换器。</x:v>
      </x:c>
      <x:c r="P11" s="19" t="str">
        <x:v>Microsoft MarkItDown；可选 OCR、Azure 或 MCP</x:v>
      </x:c>
      <x:c r="Q11" s="19" t="str">
        <x:v>转换可能丢失复杂布局；外部 OCR 服务涉及数据边界。</x:v>
      </x:c>
      <x:c r="R11" s="21" t="str">
        <x:v>说明已核验</x:v>
      </x:c>
      <x:c r="S11" s="21" t="str">
        <x:v>高</x:v>
      </x:c>
      <x:c r="T11" s="20" t="n">
        <x:v>32811</x:v>
      </x:c>
      <x:c r="U11" s="20" t="str">
        <x:v>2026-08-03</x:v>
      </x:c>
      <x:c r="V11" s="18" t="str">
        <x:v>MIT</x:v>
      </x:c>
    </x:row>
    <x:row r="12" ht="58" customHeight="1">
      <x:c r="A12" s="20" t="n">
        <x:v>8</x:v>
      </x:c>
      <x:c r="B12" s="20" t="str">
        <x:v>GH-02-0008</x:v>
      </x:c>
      <x:c r="C12" s="19" t="str">
        <x:v>scientific-slides</x:v>
      </x:c>
      <x:c r="D12" s="19" t="str">
        <x:v>科研演示文稿工作流</x:v>
      </x:c>
      <x:c r="E12" s="19" t="str">
        <x:v>为研究报告、会议和答辩构建科学演示文稿。</x:v>
      </x:c>
      <x:c r="F12" s="19" t="str">
        <x:v>https://github.com/K-Dense-AI/scientific-agent-skills/blob/main/skills/scientific-slides/SKILL.md</x:v>
      </x:c>
      <x:c r="G12" s="19" t="str">
        <x:v>K-Dense-AI/scientific-agent-skills</x:v>
      </x:c>
      <x:c r="H12" s="19" t="str">
        <x:v>https://github.com/K-Dense-AI/scientific-agent-skills</x:v>
      </x:c>
      <x:c r="I12" s="19" t="str">
        <x:v>Agent Skills（兼容 Codex）</x:v>
      </x:c>
      <x:c r="J12" s="19" t="str">
        <x:v>社区 skill、开源仓库</x:v>
      </x:c>
      <x:c r="K12" s="19" t="str">
        <x:v>科研汇报、答辩、会议演讲、Beamer</x:v>
      </x:c>
      <x:c r="L12" s="19" t="str">
        <x:v>学生、科研人员、教学人员</x:v>
      </x:c>
      <x:c r="M12" s="19" t="str">
        <x:v>组会、论文分享、学术会议、开题与答辩</x:v>
      </x:c>
      <x:c r="N12" s="21" t="str">
        <x:v>A</x:v>
      </x:c>
      <x:c r="O12" s="19" t="str">
        <x:v>可直接作为内容与视觉规则；图像生成依赖按需替换。</x:v>
      </x:c>
      <x:c r="P12" s="19" t="str">
        <x:v>PowerPoint 或 LaTeX；部分流程引用图像生成工具</x:v>
      </x:c>
      <x:c r="Q12" s="19" t="str">
        <x:v>自动生成视觉素材需核验版权和科学准确性。</x:v>
      </x:c>
      <x:c r="R12" s="21" t="str">
        <x:v>说明已核验</x:v>
      </x:c>
      <x:c r="S12" s="21" t="str">
        <x:v>高</x:v>
      </x:c>
      <x:c r="T12" s="20" t="n">
        <x:v>32811</x:v>
      </x:c>
      <x:c r="U12" s="20" t="str">
        <x:v>2026-08-03</x:v>
      </x:c>
      <x:c r="V12" s="18" t="str">
        <x:v>MIT</x:v>
      </x:c>
    </x:row>
    <x:row r="13" ht="58" customHeight="1">
      <x:c r="A13" s="20" t="n">
        <x:v>9</x:v>
      </x:c>
      <x:c r="B13" s="20" t="str">
        <x:v>GH-02-0009</x:v>
      </x:c>
      <x:c r="C13" s="19" t="str">
        <x:v>office-academic-skill</x:v>
      </x:c>
      <x:c r="D13" s="19" t="str">
        <x:v>中文学术 Word/PPT 工作流</x:v>
      </x:c>
      <x:c r="E13" s="19" t="str">
        <x:v>把论文和学位材料转换为中文 Word 报告或学术演示。</x:v>
      </x:c>
      <x:c r="F13" s="19" t="str">
        <x:v>https://github.com/zLanqing/codex-claude-academic-skills/blob/main/office-academic-skill/SKILL.md</x:v>
      </x:c>
      <x:c r="G13" s="19" t="str">
        <x:v>zLanqing/codex-claude-academic-skills</x:v>
      </x:c>
      <x:c r="H13" s="19" t="str">
        <x:v>https://github.com/zLanqing/codex-claude-academic-skills</x:v>
      </x:c>
      <x:c r="I13" s="19" t="str">
        <x:v>OpenAI Codex、Anthropic Claude Code</x:v>
      </x:c>
      <x:c r="J13" s="19" t="str">
        <x:v>社区 skill、开源仓库</x:v>
      </x:c>
      <x:c r="K13" s="19" t="str">
        <x:v>中文学术报告、论文阅读、DOCX、PPTX、讲者备注</x:v>
      </x:c>
      <x:c r="L13" s="19" t="str">
        <x:v>学生、科研人员、教学人员</x:v>
      </x:c>
      <x:c r="M13" s="19" t="str">
        <x:v>论文汇报、组会、开题答辩、中文阅读报告</x:v>
      </x:c>
      <x:c r="N13" s="21" t="str">
        <x:v>A</x:v>
      </x:c>
      <x:c r="O13" s="19" t="str">
        <x:v>可直接用于 Codex；替换本校视觉模板即可。</x:v>
      </x:c>
      <x:c r="P13" s="19" t="str">
        <x:v>Word/PPTX 生成和渲染依赖</x:v>
      </x:c>
      <x:c r="Q13" s="19" t="str">
        <x:v>必须防止公式、变量和引用在转换中被改写。</x:v>
      </x:c>
      <x:c r="R13" s="21" t="str">
        <x:v>说明已核验</x:v>
      </x:c>
      <x:c r="S13" s="21" t="str">
        <x:v>高</x:v>
      </x:c>
      <x:c r="T13" s="20" t="n">
        <x:v>2613</x:v>
      </x:c>
      <x:c r="U13" s="20" t="str">
        <x:v>2026-05-14</x:v>
      </x:c>
      <x:c r="V13" s="18" t="str">
        <x:v>MIT</x:v>
      </x:c>
    </x:row>
    <x:row r="14" ht="58" customHeight="1">
      <x:c r="A14" s="20" t="n">
        <x:v>10</x:v>
      </x:c>
      <x:c r="B14" s="20" t="str">
        <x:v>GH-02-0010</x:v>
      </x:c>
      <x:c r="C14" s="19" t="str">
        <x:v>docx-manipulation</x:v>
      </x:c>
      <x:c r="D14" s="19" t="str">
        <x:v>python-docx 文档操作</x:v>
      </x:c>
      <x:c r="E14" s="19" t="str">
        <x:v>使用 python-docx 程序化创建和编辑 Word 文档。</x:v>
      </x:c>
      <x:c r="F14" s="19" t="str">
        <x:v>https://github.com/claude-office-skills/skills/blob/main/docx-manipulation/SKILL.md</x:v>
      </x:c>
      <x:c r="G14" s="19" t="str">
        <x:v>claude-office-skills/skills</x:v>
      </x:c>
      <x:c r="H14" s="19" t="str">
        <x:v>https://github.com/claude-office-skills/skills</x:v>
      </x:c>
      <x:c r="I14" s="19" t="str">
        <x:v>Anthropic Claude Code</x:v>
      </x:c>
      <x:c r="J14" s="19" t="str">
        <x:v>社区 skill、开源仓库</x:v>
      </x:c>
      <x:c r="K14" s="19" t="str">
        <x:v>python-docx、Word、文档操作</x:v>
      </x:c>
      <x:c r="L14" s="19" t="str">
        <x:v>行政人员、教学人员、科研人员</x:v>
      </x:c>
      <x:c r="M14" s="19" t="str">
        <x:v>批量报告、公文模板、课程材料自动生成</x:v>
      </x:c>
      <x:c r="N14" s="21" t="str">
        <x:v>B</x:v>
      </x:c>
      <x:c r="O14" s="19" t="str">
        <x:v>将 Claude 特定元数据改为 Codex skill；复用 python-docx 范式。</x:v>
      </x:c>
      <x:c r="P14" s="19" t="str">
        <x:v>python-docx</x:v>
      </x:c>
      <x:c r="Q14" s="19" t="str">
        <x:v>复杂 Word 特性支持有限，输出仍需版式检查。</x:v>
      </x:c>
      <x:c r="R14" s="21" t="str">
        <x:v>说明已核验</x:v>
      </x:c>
      <x:c r="S14" s="21" t="str">
        <x:v>中</x:v>
      </x:c>
      <x:c r="T14" s="20" t="n">
        <x:v>362</x:v>
      </x:c>
      <x:c r="U14" s="20" t="str">
        <x:v>2026-01-31</x:v>
      </x:c>
      <x:c r="V14" s="18" t="str">
        <x:v>MIT</x:v>
      </x:c>
    </x:row>
    <x:row r="15" ht="58" customHeight="1">
      <x:c r="A15" s="20" t="n">
        <x:v>11</x:v>
      </x:c>
      <x:c r="B15" s="20" t="str">
        <x:v>GH-02-0011</x:v>
      </x:c>
      <x:c r="C15" s="19" t="str">
        <x:v>xlsx-manipulation</x:v>
      </x:c>
      <x:c r="D15" s="19" t="str">
        <x:v>openpyxl 表格操作</x:v>
      </x:c>
      <x:c r="E15" s="19" t="str">
        <x:v>使用 openpyxl 程序化创建和编辑 Excel 工作簿。</x:v>
      </x:c>
      <x:c r="F15" s="19" t="str">
        <x:v>https://github.com/claude-office-skills/skills/blob/main/xlsx-manipulation/SKILL.md</x:v>
      </x:c>
      <x:c r="G15" s="19" t="str">
        <x:v>claude-office-skills/skills</x:v>
      </x:c>
      <x:c r="H15" s="19" t="str">
        <x:v>https://github.com/claude-office-skills/skills</x:v>
      </x:c>
      <x:c r="I15" s="19" t="str">
        <x:v>Anthropic Claude Code</x:v>
      </x:c>
      <x:c r="J15" s="19" t="str">
        <x:v>社区 skill、开源仓库</x:v>
      </x:c>
      <x:c r="K15" s="19" t="str">
        <x:v>openpyxl、Excel、公式、样式</x:v>
      </x:c>
      <x:c r="L15" s="19" t="str">
        <x:v>行政人员、科研人员、学生</x:v>
      </x:c>
      <x:c r="M15" s="19" t="str">
        <x:v>台账、调查数据、批量工作簿和报表生成</x:v>
      </x:c>
      <x:c r="N15" s="21" t="str">
        <x:v>B</x:v>
      </x:c>
      <x:c r="O15" s="19" t="str">
        <x:v>改写工具调用并增加公式重算与渲染门。</x:v>
      </x:c>
      <x:c r="P15" s="19" t="str">
        <x:v>openpyxl</x:v>
      </x:c>
      <x:c r="Q15" s="19" t="str">
        <x:v>openpyxl 不计算公式，复杂 Excel 对象可能丢失。</x:v>
      </x:c>
      <x:c r="R15" s="21" t="str">
        <x:v>说明已核验</x:v>
      </x:c>
      <x:c r="S15" s="21" t="str">
        <x:v>中</x:v>
      </x:c>
      <x:c r="T15" s="20" t="n">
        <x:v>362</x:v>
      </x:c>
      <x:c r="U15" s="20" t="str">
        <x:v>2026-01-31</x:v>
      </x:c>
      <x:c r="V15" s="18" t="str">
        <x:v>MIT</x:v>
      </x:c>
    </x:row>
    <x:row r="16" ht="58" customHeight="1">
      <x:c r="A16" s="20" t="n">
        <x:v>12</x:v>
      </x:c>
      <x:c r="B16" s="20" t="str">
        <x:v>GH-02-0012</x:v>
      </x:c>
      <x:c r="C16" s="19" t="str">
        <x:v>pptx-manipulation</x:v>
      </x:c>
      <x:c r="D16" s="19" t="str">
        <x:v>python-pptx 演示操作</x:v>
      </x:c>
      <x:c r="E16" s="19" t="str">
        <x:v>使用 python-pptx 程序化创建和修改演示文稿。</x:v>
      </x:c>
      <x:c r="F16" s="19" t="str">
        <x:v>https://github.com/claude-office-skills/skills/blob/main/pptx-manipulation/SKILL.md</x:v>
      </x:c>
      <x:c r="G16" s="19" t="str">
        <x:v>claude-office-skills/skills</x:v>
      </x:c>
      <x:c r="H16" s="19" t="str">
        <x:v>https://github.com/claude-office-skills/skills</x:v>
      </x:c>
      <x:c r="I16" s="19" t="str">
        <x:v>Anthropic Claude Code</x:v>
      </x:c>
      <x:c r="J16" s="19" t="str">
        <x:v>社区 skill、开源仓库</x:v>
      </x:c>
      <x:c r="K16" s="19" t="str">
        <x:v>python-pptx、PowerPoint、模板、布局</x:v>
      </x:c>
      <x:c r="L16" s="19" t="str">
        <x:v>教学人员、科研人员、行政人员、学生</x:v>
      </x:c>
      <x:c r="M16" s="19" t="str">
        <x:v>批量培训课件、标准化汇报和模板填充</x:v>
      </x:c>
      <x:c r="N16" s="21" t="str">
        <x:v>B</x:v>
      </x:c>
      <x:c r="O16" s="19" t="str">
        <x:v>改写为 Codex 工具路径并增加逐页渲染检查。</x:v>
      </x:c>
      <x:c r="P16" s="19" t="str">
        <x:v>python-pptx</x:v>
      </x:c>
      <x:c r="Q16" s="19" t="str">
        <x:v>不支持所有 PowerPoint 特性；自动布局需要人工复核。</x:v>
      </x:c>
      <x:c r="R16" s="21" t="str">
        <x:v>说明已核验</x:v>
      </x:c>
      <x:c r="S16" s="21" t="str">
        <x:v>中</x:v>
      </x:c>
      <x:c r="T16" s="20" t="n">
        <x:v>362</x:v>
      </x:c>
      <x:c r="U16" s="20" t="str">
        <x:v>2026-01-31</x:v>
      </x:c>
      <x:c r="V16" s="18" t="str">
        <x:v>MIT</x:v>
      </x:c>
    </x:row>
    <x:row r="17" ht="58" customHeight="1">
      <x:c r="A17" s="20" t="n">
        <x:v>13</x:v>
      </x:c>
      <x:c r="B17" s="20" t="str">
        <x:v>GH-02-0013</x:v>
      </x:c>
      <x:c r="C17" s="19" t="str">
        <x:v>md-to-office</x:v>
      </x:c>
      <x:c r="D17" s="19" t="str">
        <x:v>Markdown 转 Office</x:v>
      </x:c>
      <x:c r="E17" s="19" t="str">
        <x:v>把 Markdown 内容转换为常见 Office 文件。</x:v>
      </x:c>
      <x:c r="F17" s="19" t="str">
        <x:v>https://github.com/claude-office-skills/skills/blob/main/md-to-office/SKILL.md</x:v>
      </x:c>
      <x:c r="G17" s="19" t="str">
        <x:v>claude-office-skills/skills</x:v>
      </x:c>
      <x:c r="H17" s="19" t="str">
        <x:v>https://github.com/claude-office-skills/skills</x:v>
      </x:c>
      <x:c r="I17" s="19" t="str">
        <x:v>Anthropic Claude Code</x:v>
      </x:c>
      <x:c r="J17" s="19" t="str">
        <x:v>社区 skill、开源仓库</x:v>
      </x:c>
      <x:c r="K17" s="19" t="str">
        <x:v>Markdown、DOCX、PPTX、XLSX、转换</x:v>
      </x:c>
      <x:c r="L17" s="19" t="str">
        <x:v>学生、教学人员、科研人员、行政人员</x:v>
      </x:c>
      <x:c r="M17" s="19" t="str">
        <x:v>笔记转报告、Markdown 方案转 Word、提纲转演示</x:v>
      </x:c>
      <x:c r="N17" s="21" t="str">
        <x:v>B</x:v>
      </x:c>
      <x:c r="O17" s="19" t="str">
        <x:v>选择本地转换工具并为目标模板增加样式映射。</x:v>
      </x:c>
      <x:c r="P17" s="19" t="str">
        <x:v>Pandoc 或 Python/Node.js Office 库</x:v>
      </x:c>
      <x:c r="Q17" s="19" t="str">
        <x:v>跨格式转换可能丢失版式与语义，需要目标文件检查。</x:v>
      </x:c>
      <x:c r="R17" s="21" t="str">
        <x:v>说明已核验</x:v>
      </x:c>
      <x:c r="S17" s="21" t="str">
        <x:v>中</x:v>
      </x:c>
      <x:c r="T17" s="20" t="n">
        <x:v>362</x:v>
      </x:c>
      <x:c r="U17" s="20" t="str">
        <x:v>2026-01-31</x:v>
      </x:c>
      <x:c r="V17" s="18" t="str">
        <x:v>MIT</x:v>
      </x:c>
    </x:row>
    <x:row r="18" ht="58" customHeight="1">
      <x:c r="A18" s="20" t="n">
        <x:v>14</x:v>
      </x:c>
      <x:c r="B18" s="20" t="str">
        <x:v>GH-02-0014</x:v>
      </x:c>
      <x:c r="C18" s="19" t="str">
        <x:v>office-to-md</x:v>
      </x:c>
      <x:c r="D18" s="19" t="str">
        <x:v>Office 转 Markdown</x:v>
      </x:c>
      <x:c r="E18" s="19" t="str">
        <x:v>从 DOCX、XLSX、PPTX 等 Office 文件提取结构化 Markdown。</x:v>
      </x:c>
      <x:c r="F18" s="19" t="str">
        <x:v>https://github.com/claude-office-skills/skills/blob/main/office-to-md/SKILL.md</x:v>
      </x:c>
      <x:c r="G18" s="19" t="str">
        <x:v>claude-office-skills/skills</x:v>
      </x:c>
      <x:c r="H18" s="19" t="str">
        <x:v>https://github.com/claude-office-skills/skills</x:v>
      </x:c>
      <x:c r="I18" s="19" t="str">
        <x:v>Anthropic Claude Code</x:v>
      </x:c>
      <x:c r="J18" s="19" t="str">
        <x:v>社区 skill、开源仓库</x:v>
      </x:c>
      <x:c r="K18" s="19" t="str">
        <x:v>Office、Markdown、提取、知识库</x:v>
      </x:c>
      <x:c r="L18" s="19" t="str">
        <x:v>图书馆人员、科研人员、行政人员、学生</x:v>
      </x:c>
      <x:c r="M18" s="19" t="str">
        <x:v>档案入库、课程材料检索、文档摘要与迁移</x:v>
      </x:c>
      <x:c r="N18" s="21" t="str">
        <x:v>B</x:v>
      </x:c>
      <x:c r="O18" s="19" t="str">
        <x:v>接入 MarkItDown 或本地 Office 解析器；保留源文件链接。</x:v>
      </x:c>
      <x:c r="P18" s="19" t="str">
        <x:v>Office 解析库或转换器</x:v>
      </x:c>
      <x:c r="Q18" s="19" t="str">
        <x:v>复杂图形、批注和版式信息可能无法完整保留。</x:v>
      </x:c>
      <x:c r="R18" s="21" t="str">
        <x:v>说明已核验</x:v>
      </x:c>
      <x:c r="S18" s="21" t="str">
        <x:v>中</x:v>
      </x:c>
      <x:c r="T18" s="20" t="n">
        <x:v>362</x:v>
      </x:c>
      <x:c r="U18" s="20" t="str">
        <x:v>2026-01-31</x:v>
      </x:c>
      <x:c r="V18" s="18" t="str">
        <x:v>MIT</x:v>
      </x:c>
    </x:row>
    <x:row r="19" ht="58" customHeight="1">
      <x:c r="A19" s="20" t="n">
        <x:v>15</x:v>
      </x:c>
      <x:c r="B19" s="20" t="str">
        <x:v>GH-02-0015</x:v>
      </x:c>
      <x:c r="C19" s="19" t="str">
        <x:v>batch-convert</x:v>
      </x:c>
      <x:c r="D19" s="19" t="str">
        <x:v>多格式批量转换</x:v>
      </x:c>
      <x:c r="E19" s="19" t="str">
        <x:v>通过统一流程批量转换多种办公文档格式。</x:v>
      </x:c>
      <x:c r="F19" s="19" t="str">
        <x:v>https://github.com/claude-office-skills/skills/blob/main/batch-convert/SKILL.md</x:v>
      </x:c>
      <x:c r="G19" s="19" t="str">
        <x:v>claude-office-skills/skills</x:v>
      </x:c>
      <x:c r="H19" s="19" t="str">
        <x:v>https://github.com/claude-office-skills/skills</x:v>
      </x:c>
      <x:c r="I19" s="19" t="str">
        <x:v>Anthropic Claude Code</x:v>
      </x:c>
      <x:c r="J19" s="19" t="str">
        <x:v>社区 skill、开源仓库</x:v>
      </x:c>
      <x:c r="K19" s="19" t="str">
        <x:v>批量转换、格式路由、文件队列</x:v>
      </x:c>
      <x:c r="L19" s="19" t="str">
        <x:v>行政人员、图书馆人员、教学人员</x:v>
      </x:c>
      <x:c r="M19" s="19" t="str">
        <x:v>历史材料迁移、课程文件统一格式、档案批处理</x:v>
      </x:c>
      <x:c r="N19" s="21" t="str">
        <x:v>B</x:v>
      </x:c>
      <x:c r="O19" s="19" t="str">
        <x:v>需要绑定实际转换工具；先对副本运行并保存失败清单。</x:v>
      </x:c>
      <x:c r="P19" s="19" t="str">
        <x:v>LibreOffice、Pandoc 或相应格式库</x:v>
      </x:c>
      <x:c r="Q19" s="19" t="str">
        <x:v>转换可能造成样式或嵌入对象损失；仓库未附专用脚本。</x:v>
      </x:c>
      <x:c r="R19" s="21" t="str">
        <x:v>说明已核验</x:v>
      </x:c>
      <x:c r="S19" s="21" t="str">
        <x:v>中</x:v>
      </x:c>
      <x:c r="T19" s="20" t="n">
        <x:v>362</x:v>
      </x:c>
      <x:c r="U19" s="20" t="str">
        <x:v>2026-01-31</x:v>
      </x:c>
      <x:c r="V19" s="18" t="str">
        <x:v>MIT</x:v>
      </x:c>
    </x:row>
    <x:row r="20" ht="58" customHeight="1">
      <x:c r="A20" s="20" t="n">
        <x:v>16</x:v>
      </x:c>
      <x:c r="B20" s="20" t="str">
        <x:v>GH-02-0016</x:v>
      </x:c>
      <x:c r="C20" s="19" t="str">
        <x:v>officeimo-document-operator</x:v>
      </x:c>
      <x:c r="D20" s="19" t="str">
        <x:v>OfficeIMO 文档操作</x:v>
      </x:c>
      <x:c r="E20" s="19" t="str">
        <x:v>使用 OfficeIMO 检查、搜索、摘要、提取和转换本地文档。</x:v>
      </x:c>
      <x:c r="F20" s="19" t="str">
        <x:v>https://github.com/EvotecIT/OfficeIMO/blob/master/.agents/plugins/officeimo-document-tools/skills/officeimo-document-operator/SKILL.md</x:v>
      </x:c>
      <x:c r="G20" s="19" t="str">
        <x:v>EvotecIT/OfficeIMO</x:v>
      </x:c>
      <x:c r="H20" s="19" t="str">
        <x:v>https://github.com/EvotecIT/OfficeIMO</x:v>
      </x:c>
      <x:c r="I20" s="19" t="str">
        <x:v>OpenAI Codex / Agent Skills</x:v>
      </x:c>
      <x:c r="J20" s="19" t="str">
        <x:v>社区 skill、开源仓库</x:v>
      </x:c>
      <x:c r="K20" s="19" t="str">
        <x:v>OfficeIMO、DOCX、XLSX、PPTX、PDF、邮件</x:v>
      </x:c>
      <x:c r="L20" s="19" t="str">
        <x:v>信息化人员、行政人员、图书馆人员</x:v>
      </x:c>
      <x:c r="M20" s="19" t="str">
        <x:v>本地多格式文档处理、无 COM 服务器流程</x:v>
      </x:c>
      <x:c r="N20" s="21" t="str">
        <x:v>B</x:v>
      </x:c>
      <x:c r="O20" s="19" t="str">
        <x:v>安装或提供 OfficeIMO CLI 后可用于 Codex；优先只读操作。</x:v>
      </x:c>
      <x:c r="P20" s="19" t="str">
        <x:v>.NET 8+ 与 OfficeIMO CLI/库</x:v>
      </x:c>
      <x:c r="Q20" s="19" t="str">
        <x:v>格式覆盖广但特性支持不一；转换保真度需抽查。</x:v>
      </x:c>
      <x:c r="R20" s="21" t="str">
        <x:v>说明已核验</x:v>
      </x:c>
      <x:c r="S20" s="21" t="str">
        <x:v>中</x:v>
      </x:c>
      <x:c r="T20" s="20" t="n">
        <x:v>499</x:v>
      </x:c>
      <x:c r="U20" s="20" t="str">
        <x:v>2026-08-06</x:v>
      </x:c>
      <x:c r="V20" s="18" t="str">
        <x:v>MIT</x:v>
      </x:c>
    </x:row>
    <x:row r="21" ht="58" customHeight="1">
      <x:c r="A21" s="20" t="n">
        <x:v>17</x:v>
      </x:c>
      <x:c r="B21" s="20" t="str">
        <x:v>GH-02-0017</x:v>
      </x:c>
      <x:c r="C21" s="19" t="str">
        <x:v>markdown-exporter</x:v>
      </x:c>
      <x:c r="D21" s="19" t="str">
        <x:v>Markdown 多格式导出</x:v>
      </x:c>
      <x:c r="E21" s="19" t="str">
        <x:v>将 Markdown 导出为多种办公、数据和代码格式。</x:v>
      </x:c>
      <x:c r="F21" s="19" t="str">
        <x:v>https://github.com/bowenliang123/markdown-exporter/blob/main/SKILL.md</x:v>
      </x:c>
      <x:c r="G21" s="19" t="str">
        <x:v>bowenliang123/markdown-exporter</x:v>
      </x:c>
      <x:c r="H21" s="19" t="str">
        <x:v>https://github.com/bowenliang123/markdown-exporter</x:v>
      </x:c>
      <x:c r="I21" s="19" t="str">
        <x:v>Agent Skills / Dify</x:v>
      </x:c>
      <x:c r="J21" s="19" t="str">
        <x:v>社区 skill、开源仓库</x:v>
      </x:c>
      <x:c r="K21" s="19" t="str">
        <x:v>Markdown、DOCX、PPTX、XLSX、PDF、导出</x:v>
      </x:c>
      <x:c r="L21" s="19" t="str">
        <x:v>学生、教学人员、科研人员、行政人员</x:v>
      </x:c>
      <x:c r="M21" s="19" t="str">
        <x:v>一份 Markdown 多渠道发布、报告与数据文件导出</x:v>
      </x:c>
      <x:c r="N21" s="21" t="str">
        <x:v>B</x:v>
      </x:c>
      <x:c r="O21" s="19" t="str">
        <x:v>安装项目依赖并按目标格式选择导出器。</x:v>
      </x:c>
      <x:c r="P21" s="19" t="str">
        <x:v>项目 CLI/Dify 插件及各格式依赖</x:v>
      </x:c>
      <x:c r="Q21" s="19" t="str">
        <x:v>多格式覆盖不代表版式一致；每种目标都需单独验收。</x:v>
      </x:c>
      <x:c r="R21" s="21" t="str">
        <x:v>说明已核验</x:v>
      </x:c>
      <x:c r="S21" s="21" t="str">
        <x:v>高</x:v>
      </x:c>
      <x:c r="T21" s="20" t="n">
        <x:v>258</x:v>
      </x:c>
      <x:c r="U21" s="20" t="str">
        <x:v>2026-07-16</x:v>
      </x:c>
      <x:c r="V21" s="18" t="str">
        <x:v>Apache-2.0</x:v>
      </x:c>
    </x:row>
    <x:row r="22" ht="58" customHeight="1">
      <x:c r="A22" s="20" t="n">
        <x:v>18</x:v>
      </x:c>
      <x:c r="B22" s="20" t="str">
        <x:v>GH-02-0018</x:v>
      </x:c>
      <x:c r="C22" s="19" t="str">
        <x:v>ai-paper2slide-skill</x:v>
      </x:c>
      <x:c r="D22" s="19" t="str">
        <x:v>论文转会议演示</x:v>
      </x:c>
      <x:c r="E22" s="19" t="str">
        <x:v>把 AI 研究论文转为会议级演示文稿。</x:v>
      </x:c>
      <x:c r="F22" s="19" t="str">
        <x:v>https://github.com/Leo1998-Lu/ai-paper2slide-skill/blob/main/SKILL.md</x:v>
      </x:c>
      <x:c r="G22" s="19" t="str">
        <x:v>Leo1998-Lu/ai-paper2slide-skill</x:v>
      </x:c>
      <x:c r="H22" s="19" t="str">
        <x:v>https://github.com/Leo1998-Lu/ai-paper2slide-skill</x:v>
      </x:c>
      <x:c r="I22" s="19" t="str">
        <x:v>Agent Skills</x:v>
      </x:c>
      <x:c r="J22" s="19" t="str">
        <x:v>社区 skill、开源仓库</x:v>
      </x:c>
      <x:c r="K22" s="19" t="str">
        <x:v>论文转 PPT、学术演讲、讲者备注、图表</x:v>
      </x:c>
      <x:c r="L22" s="19" t="str">
        <x:v>学生、科研人员、教学人员</x:v>
      </x:c>
      <x:c r="M22" s="19" t="str">
        <x:v>论文分享、会议报告、组会和答辩</x:v>
      </x:c>
      <x:c r="N22" s="21" t="str">
        <x:v>B</x:v>
      </x:c>
      <x:c r="O22" s="19" t="str">
        <x:v>适配 Codex 演示运行时；用本地论文和授权图片。</x:v>
      </x:c>
      <x:c r="P22" s="19" t="str">
        <x:v>PPTX 生成与 PDF/图像渲染工具</x:v>
      </x:c>
      <x:c r="Q22" s="19" t="str">
        <x:v>自动提取图表需检查版权、分辨率和科学语境。</x:v>
      </x:c>
      <x:c r="R22" s="21" t="str">
        <x:v>说明已核验</x:v>
      </x:c>
      <x:c r="S22" s="21" t="str">
        <x:v>高</x:v>
      </x:c>
      <x:c r="T22" s="20" t="n">
        <x:v>95</x:v>
      </x:c>
      <x:c r="U22" s="20" t="str">
        <x:v>2026-07-08</x:v>
      </x:c>
      <x:c r="V22" s="18" t="str">
        <x:v>MIT</x:v>
      </x:c>
    </x:row>
    <x:row r="23" ht="58" customHeight="1">
      <x:c r="A23" s="20" t="n">
        <x:v>19</x:v>
      </x:c>
      <x:c r="B23" s="20" t="str">
        <x:v>GH-02-0019</x:v>
      </x:c>
      <x:c r="C23" s="19" t="str">
        <x:v>xlsx-win</x:v>
      </x:c>
      <x:c r="D23" s="19" t="str">
        <x:v>Windows 原生 Excel 自动化</x:v>
      </x:c>
      <x:c r="E23" s="19" t="str">
        <x:v>在 Windows 上通过 Microsoft Excel COM 刷新、重算和验证工作簿。</x:v>
      </x:c>
      <x:c r="F23" s="19" t="str">
        <x:v>https://github.com/dachent/skills/blob/main/xlsx-win/SKILL.md</x:v>
      </x:c>
      <x:c r="G23" s="19" t="str">
        <x:v>dachent/skills</x:v>
      </x:c>
      <x:c r="H23" s="19" t="str">
        <x:v>https://github.com/dachent/skills</x:v>
      </x:c>
      <x:c r="I23" s="19" t="str">
        <x:v>OpenAI Codex、Anthropic Claude Code</x:v>
      </x:c>
      <x:c r="J23" s="19" t="str">
        <x:v>社区 skill、开源仓库</x:v>
      </x:c>
      <x:c r="K23" s="19" t="str">
        <x:v>Windows、Excel COM、刷新、重算、数据透视</x:v>
      </x:c>
      <x:c r="L23" s="19" t="str">
        <x:v>行政人员、科研人员、信息化人员</x:v>
      </x:c>
      <x:c r="M23" s="19" t="str">
        <x:v>复杂公式重算、现有连接刷新、Excel 环境自检</x:v>
      </x:c>
      <x:c r="N23" s="21" t="str">
        <x:v>A</x:v>
      </x:c>
      <x:c r="O23" s="19" t="str">
        <x:v>Windows 且安装桌面 Excel 时可直接使用；限制为指定工作簿。</x:v>
      </x:c>
      <x:c r="P23" s="19" t="str">
        <x:v>Windows、Microsoft 365 Excel、COM</x:v>
      </x:c>
      <x:c r="Q23" s="19" t="str">
        <x:v>会操作真实 Excel 会话；宏执行和 Power Query M 编辑不在支持范围。</x:v>
      </x:c>
      <x:c r="R23" s="21" t="str">
        <x:v>说明已核验</x:v>
      </x:c>
      <x:c r="S23" s="21" t="str">
        <x:v>高</x:v>
      </x:c>
      <x:c r="T23" s="20" t="n">
        <x:v>18</x:v>
      </x:c>
      <x:c r="U23" s="20" t="str">
        <x:v>2026-08-03</x:v>
      </x:c>
      <x:c r="V23" s="18" t="str">
        <x:v>MIT</x:v>
      </x:c>
    </x:row>
    <x:row r="24" ht="58" customHeight="1">
      <x:c r="A24" s="20" t="n">
        <x:v>20</x:v>
      </x:c>
      <x:c r="B24" s="20" t="str">
        <x:v>GH-02-0020</x:v>
      </x:c>
      <x:c r="C24" s="19" t="str">
        <x:v>spreadsheet-processing</x:v>
      </x:c>
      <x:c r="D24" s="19" t="str">
        <x:v>复杂工作簿审查与编辑</x:v>
      </x:c>
      <x:c r="E24" s="19" t="str">
        <x:v>分析、调试、核对并验证复杂 Excel 或连接型表格。</x:v>
      </x:c>
      <x:c r="F24" s="19" t="str">
        <x:v>https://github.com/kangminlee-maker/excel-workbook-editing/blob/main/SKILL.md</x:v>
      </x:c>
      <x:c r="G24" s="19" t="str">
        <x:v>kangminlee-maker/excel-workbook-editing</x:v>
      </x:c>
      <x:c r="H24" s="19" t="str">
        <x:v>https://github.com/kangminlee-maker/excel-workbook-editing</x:v>
      </x:c>
      <x:c r="I24" s="19" t="str">
        <x:v>Anthropic Claude Code / Agent Skills</x:v>
      </x:c>
      <x:c r="J24" s="19" t="str">
        <x:v>社区 skill、开源仓库</x:v>
      </x:c>
      <x:c r="K24" s="19" t="str">
        <x:v>工作簿审查、公式数据流、命名范围、证据包</x:v>
      </x:c>
      <x:c r="L24" s="19" t="str">
        <x:v>行政人员、科研人员、信息化人员</x:v>
      </x:c>
      <x:c r="M24" s="19" t="str">
        <x:v>复杂台账审计、模板调试、跨表公式追踪</x:v>
      </x:c>
      <x:c r="N24" s="21" t="str">
        <x:v>B</x:v>
      </x:c>
      <x:c r="O24" s="19" t="str">
        <x:v>去除 Google Sheets 特定部分也可独立用于本地 Excel。</x:v>
      </x:c>
      <x:c r="P24" s="19" t="str">
        <x:v>Excel/Sheets 工具；视任务使用脚本</x:v>
      </x:c>
      <x:c r="Q24" s="19" t="str">
        <x:v>范围很宽，执行前需限制文件和写入边界。</x:v>
      </x:c>
      <x:c r="R24" s="21" t="str">
        <x:v>说明已核验</x:v>
      </x:c>
      <x:c r="S24" s="21" t="str">
        <x:v>中</x:v>
      </x:c>
      <x:c r="T24" s="20" t="n">
        <x:v>0</x:v>
      </x:c>
      <x:c r="U24" s="20" t="str">
        <x:v>2026-06-29</x:v>
      </x:c>
      <x:c r="V24" s="18" t="str">
        <x:v>MIT</x:v>
      </x:c>
    </x:row>
    <x:row r="25" ht="58" customHeight="1">
      <x:c r="A25" s="20" t="n">
        <x:v>21</x:v>
      </x:c>
      <x:c r="B25" s="20" t="str">
        <x:v>GH-02-0021</x:v>
      </x:c>
      <x:c r="C25" s="19" t="str">
        <x:v>document-accessibility-wizard</x:v>
      </x:c>
      <x:c r="D25" s="19" t="str">
        <x:v>文档无障碍审查向导</x:v>
      </x:c>
      <x:c r="E25" s="19" t="str">
        <x:v>引导式审查 Office 文档和 PDF 的无障碍问题。</x:v>
      </x:c>
      <x:c r="F25" s="19" t="str">
        <x:v>https://github.com/Community-Access/accessibility-agents/blob/main/codex-skills/document-accessibility-wizard/SKILL.md</x:v>
      </x:c>
      <x:c r="G25" s="19" t="str">
        <x:v>Community-Access/accessibility-agents</x:v>
      </x:c>
      <x:c r="H25" s="19" t="str">
        <x:v>https://github.com/Community-Access/accessibility-agents</x:v>
      </x:c>
      <x:c r="I25" s="19" t="str">
        <x:v>OpenAI Codex</x:v>
      </x:c>
      <x:c r="J25" s="19" t="str">
        <x:v>社区 skill、开源仓库</x:v>
      </x:c>
      <x:c r="K25" s="19" t="str">
        <x:v>无障碍、DOCX、XLSX、PPTX、PDF、批量扫描</x:v>
      </x:c>
      <x:c r="L25" s="19" t="str">
        <x:v>教学人员、行政人员、学生支持人员、信息化人员</x:v>
      </x:c>
      <x:c r="M25" s="19" t="str">
        <x:v>课程材料、网站附件、行政通知和报告的无障碍审查</x:v>
      </x:c>
      <x:c r="N25" s="21" t="str">
        <x:v>B</x:v>
      </x:c>
      <x:c r="O25" s="19" t="str">
        <x:v>需要将子代理调用映射到当前 Codex 能力；规则可直接复用。</x:v>
      </x:c>
      <x:c r="P25" s="19" t="str">
        <x:v>多个专项无障碍 skill 和文档解析工具</x:v>
      </x:c>
      <x:c r="Q25" s="19" t="str">
        <x:v>自动审查不能替代辅助技术用户测试；扫描目录需严格限界。</x:v>
      </x:c>
      <x:c r="R25" s="21" t="str">
        <x:v>说明已核验</x:v>
      </x:c>
      <x:c r="S25" s="21" t="str">
        <x:v>高</x:v>
      </x:c>
      <x:c r="T25" s="20" t="n">
        <x:v>382</x:v>
      </x:c>
      <x:c r="U25" s="20" t="str">
        <x:v>2026-08-04</x:v>
      </x:c>
      <x:c r="V25" s="18" t="str">
        <x:v>MIT</x:v>
      </x:c>
    </x:row>
    <x:row r="26" ht="58" customHeight="1">
      <x:c r="A26" s="20" t="n">
        <x:v>22</x:v>
      </x:c>
      <x:c r="B26" s="20" t="str">
        <x:v>GH-02-0022</x:v>
      </x:c>
      <x:c r="C26" s="19" t="str">
        <x:v>Office Remediator</x:v>
      </x:c>
      <x:c r="D26" s="19" t="str">
        <x:v>Office 无障碍修复</x:v>
      </x:c>
      <x:c r="E26" s="19" t="str">
        <x:v>为 Word、Excel 和 PowerPoint 生成可执行的无障碍修复方案。</x:v>
      </x:c>
      <x:c r="F26" s="19" t="str">
        <x:v>https://github.com/Community-Access/accessibility-agents/blob/main/.gemini/extensions/a11y-agents/skills/office-remediator/SKILL.md</x:v>
      </x:c>
      <x:c r="G26" s="19" t="str">
        <x:v>Community-Access/accessibility-agents</x:v>
      </x:c>
      <x:c r="H26" s="19" t="str">
        <x:v>https://github.com/Community-Access/accessibility-agents</x:v>
      </x:c>
      <x:c r="I26" s="19" t="str">
        <x:v>Gemini CLI / Agent Skills</x:v>
      </x:c>
      <x:c r="J26" s="19" t="str">
        <x:v>社区 skill、开源仓库</x:v>
      </x:c>
      <x:c r="K26" s="19" t="str">
        <x:v>无障碍修复、Word、Excel、PowerPoint</x:v>
      </x:c>
      <x:c r="L26" s="19" t="str">
        <x:v>教学人员、行政人员、信息化人员</x:v>
      </x:c>
      <x:c r="M26" s="19" t="str">
        <x:v>修复标题结构、替代文本、表格和阅读顺序问题</x:v>
      </x:c>
      <x:c r="N26" s="21" t="str">
        <x:v>B</x:v>
      </x:c>
      <x:c r="O26" s="19" t="str">
        <x:v>将 Gemini 扩展路径改造成 Codex skill，并保留人工修复清单。</x:v>
      </x:c>
      <x:c r="P26" s="19" t="str">
        <x:v>python-docx、openpyxl、python-pptx；部分 Office UI</x:v>
      </x:c>
      <x:c r="Q26" s="19" t="str">
        <x:v>程序化修复覆盖有限，视觉和屏幕阅读器体验需人工验证。</x:v>
      </x:c>
      <x:c r="R26" s="21" t="str">
        <x:v>说明已核验</x:v>
      </x:c>
      <x:c r="S26" s="21" t="str">
        <x:v>高</x:v>
      </x:c>
      <x:c r="T26" s="20" t="n">
        <x:v>382</x:v>
      </x:c>
      <x:c r="U26" s="20" t="str">
        <x:v>2026-08-04</x:v>
      </x:c>
      <x:c r="V26" s="18" t="str">
        <x:v>MIT</x:v>
      </x:c>
    </x:row>
  </x:sheetData>
  <x:mergeCells>
    <x:mergeCell ref="A1:V1"/>
    <x:mergeCell ref="A2:V2"/>
  </x:mergeCells>
  <x:conditionalFormatting sqref="N5:N26">
    <x:cfRule type="cellIs" dxfId="0" priority="1" operator="equal">
      <x:formula>"A"</x:formula>
    </x:cfRule>
    <x:cfRule type="cellIs" dxfId="1" priority="2" operator="equal">
      <x:formula>"B"</x:formula>
    </x:cfRule>
    <x:cfRule type="cellIs" dxfId="2" priority="3" operator="equal">
      <x:formula>"C"</x:formula>
    </x:cfRule>
  </x:conditionalFormatting>
  <x:conditionalFormatting sqref="S5:S26">
    <x:cfRule type="cellIs" dxfId="3" priority="4" operator="equal">
      <x:formula>"高"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dfcb4161ab647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" hidden="0" customWidth="1"/>
    <x:col min="6" max="6" width="46" hidden="0" customWidth="1"/>
    <x:col min="7" max="7" width="12" hidden="0" customWidth="1"/>
  </x:cols>
  <x:sheetData>
    <x:row r="1">
      <x:c r="A1" s="16" t="str">
        <x:v>文档、表格、演示文稿与办公自动化｜结构统计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3">
      <x:c r="A3" s="9" t="str">
        <x:v>核心指标</x:v>
      </x:c>
      <x:c r="B3" s="9" t="str">
        <x:v>数量</x:v>
      </x:c>
      <x:c r="F3" s="9" t="str">
        <x:v>独立标注的生态</x:v>
      </x:c>
      <x:c r="G3" s="9" t="str">
        <x:v>数量</x:v>
      </x:c>
    </x:row>
    <x:row r="4">
      <x:c r="A4" s="10" t="str">
        <x:v>入选Skill</x:v>
      </x:c>
      <x:c r="B4" s="22" t="n">
        <x:f>COUNTA('Skill总表'!$B$5:$B$26)</x:f>
        <x:v>22</x:v>
      </x:c>
      <x:c r="F4" s="10" t="str">
        <x:v>Agent Skills</x:v>
      </x:c>
      <x:c r="G4" s="22" t="n">
        <x:f>COUNTIF('Skill总表'!$I$5:$I$26,F4)</x:f>
        <x:v>1</x:v>
      </x:c>
    </x:row>
    <x:row r="5">
      <x:c r="A5" s="10" t="str">
        <x:v>优先级：高</x:v>
      </x:c>
      <x:c r="B5" s="22" t="n">
        <x:f>COUNTIF('Skill总表'!$S$5:$S$26,"高")</x:f>
        <x:v>13</x:v>
      </x:c>
      <x:c r="F5" s="10" t="str">
        <x:v>Agent Skills / Dify</x:v>
      </x:c>
      <x:c r="G5" s="22" t="n">
        <x:f>COUNTIF('Skill总表'!$I$5:$I$26,F5)</x:f>
        <x:v>1</x:v>
      </x:c>
    </x:row>
    <x:row r="6">
      <x:c r="A6" s="10" t="str">
        <x:v>优先级：中</x:v>
      </x:c>
      <x:c r="B6" s="22" t="n">
        <x:f>COUNTIF('Skill总表'!$S$5:$S$26,"中")</x:f>
        <x:v>9</x:v>
      </x:c>
      <x:c r="F6" s="10" t="str">
        <x:v>Agent Skills（兼容 Codex）</x:v>
      </x:c>
      <x:c r="G6" s="22" t="n">
        <x:f>COUNTIF('Skill总表'!$I$5:$I$26,F6)</x:f>
        <x:v>2</x:v>
      </x:c>
    </x:row>
    <x:row r="7">
      <x:c r="A7" s="10" t="str">
        <x:v>二级包内容验证</x:v>
      </x:c>
      <x:c r="B7" s="22" t="n">
        <x:f>COUNTIF('Skill总表'!$R$5:$R$26,"二级包内容验证")</x:f>
        <x:v>4</x:v>
      </x:c>
      <x:c r="F7" s="10" t="str">
        <x:v>Anthropic Claude Code</x:v>
      </x:c>
      <x:c r="G7" s="22" t="n">
        <x:f>COUNTIF('Skill总表'!$I$5:$I$26,F7)</x:f>
        <x:v>6</x:v>
      </x:c>
    </x:row>
    <x:row r="8">
      <x:c r="A8" s="10" t="str">
        <x:v>说明已核验</x:v>
      </x:c>
      <x:c r="B8" s="22" t="n">
        <x:f>COUNTIF('Skill总表'!$R$5:$R$26,"说明已核验")</x:f>
        <x:v>18</x:v>
      </x:c>
      <x:c r="F8" s="10" t="str">
        <x:v>Anthropic Claude Code / Agent Skills</x:v>
      </x:c>
      <x:c r="G8" s="22" t="n">
        <x:f>COUNTIF('Skill总表'!$I$5:$I$26,F8)</x:f>
        <x:v>6</x:v>
      </x:c>
    </x:row>
    <x:row r="9">
      <x:c r="A9" s="10" t="str">
        <x:v>独立仓库</x:v>
      </x:c>
      <x:c r="B9" s="22" t="n">
        <x:f>COUNTA('来源清单'!$A$5:$A$15)</x:f>
        <x:v>11</x:v>
      </x:c>
      <x:c r="F9" s="10" t="str">
        <x:v>Gemini CLI / Agent Skills</x:v>
      </x:c>
      <x:c r="G9" s="22" t="n">
        <x:f>COUNTIF('Skill总表'!$I$5:$I$26,F9)</x:f>
        <x:v>1</x:v>
      </x:c>
    </x:row>
    <x:row r="10">
      <x:c r="B10" s="23"/>
      <x:c r="F10" s="10" t="str">
        <x:v>OpenAI Codex</x:v>
      </x:c>
      <x:c r="G10" s="22" t="n">
        <x:f>COUNTIF('Skill总表'!$I$5:$I$26,F10)</x:f>
        <x:v>2</x:v>
      </x:c>
    </x:row>
    <x:row r="11">
      <x:c r="B11" s="23"/>
      <x:c r="F11" s="10" t="str">
        <x:v>OpenAI Codex / Agent Skills</x:v>
      </x:c>
      <x:c r="G11" s="22" t="n">
        <x:f>COUNTIF('Skill总表'!$I$5:$I$26,F11)</x:f>
        <x:v>1</x:v>
      </x:c>
    </x:row>
    <x:row r="12">
      <x:c r="A12" s="9" t="str">
        <x:v>兼容等级</x:v>
      </x:c>
      <x:c r="B12" s="24" t="str">
        <x:v>数量</x:v>
      </x:c>
      <x:c r="F12" s="10" t="str">
        <x:v>OpenAI Codex、Anthropic Claude Code</x:v>
      </x:c>
      <x:c r="G12" s="22" t="n">
        <x:f>COUNTIF('Skill总表'!$I$5:$I$26,F12)</x:f>
        <x:v>2</x:v>
      </x:c>
    </x:row>
    <x:row r="13">
      <x:c r="A13" s="10" t="str">
        <x:v>A</x:v>
      </x:c>
      <x:c r="B13" s="22" t="n">
        <x:f>COUNTIF('Skill总表'!$N$5:$N$26,"A")</x:f>
        <x:v>4</x:v>
      </x:c>
    </x:row>
    <x:row r="14">
      <x:c r="A14" s="10" t="str">
        <x:v>B</x:v>
      </x:c>
      <x:c r="B14" s="22" t="n">
        <x:f>COUNTIF('Skill总表'!$N$5:$N$26,"B")</x:f>
        <x:v>18</x:v>
      </x:c>
    </x:row>
    <x:row r="15">
      <x:c r="A15" s="10" t="str">
        <x:v>C</x:v>
      </x:c>
      <x:c r="B15" s="22" t="n">
        <x:f>COUNTIF('Skill总表'!$N$5:$N$26,"C")</x:f>
        <x:v>0</x:v>
      </x:c>
    </x:row>
    <x:row r="16">
      <x:c r="A16" s="10" t="str">
        <x:v>D</x:v>
      </x:c>
      <x:c r="B16" s="22" t="n">
        <x:f>COUNTIF('Skill总表'!$N$5:$N$26,"D")</x:f>
        <x:v>0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276a0cb182cf4b89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50" hidden="0" customWidth="1"/>
    <x:col min="3" max="3" width="12" hidden="0" customWidth="1"/>
    <x:col min="4" max="4" width="15" hidden="0" customWidth="1"/>
    <x:col min="5" max="5" width="22" hidden="0" customWidth="1"/>
    <x:col min="6" max="6" width="14" hidden="0" customWidth="1"/>
    <x:col min="7" max="7" width="34" hidden="0" customWidth="1"/>
  </x:cols>
  <x:sheetData>
    <x:row r="1">
      <x:c r="A1" s="16" t="str">
        <x:v>文档、表格、演示文稿与办公自动化｜GitHub 来源清单</x:v>
      </x:c>
      <x:c r="B1" s="16"/>
      <x:c r="C1" s="16"/>
      <x:c r="D1" s="16"/>
      <x:c r="E1" s="16"/>
      <x:c r="F1" s="16"/>
      <x:c r="G1" s="16"/>
    </x:row>
    <x:row r="2">
      <x:c r="A2" s="5" t="str">
        <x:v>同一仓库可能包含多个入选 skill；许可证需以具体目录和当前仓库文件为准。</x:v>
      </x:c>
      <x:c r="B2" s="5"/>
      <x:c r="C2" s="5"/>
      <x:c r="D2" s="5"/>
      <x:c r="E2" s="5"/>
      <x:c r="F2" s="5"/>
      <x:c r="G2" s="5"/>
    </x:row>
    <x:row r="4">
      <x:c r="A4" s="15" t="str">
        <x:v>GitHub仓库</x:v>
      </x:c>
      <x:c r="B4" s="15" t="str">
        <x:v>仓库地址</x:v>
      </x:c>
      <x:c r="C4" s="15" t="str">
        <x:v>Stars</x:v>
      </x:c>
      <x:c r="D4" s="15" t="str">
        <x:v>最近推送</x:v>
      </x:c>
      <x:c r="E4" s="15" t="str">
        <x:v>许可证</x:v>
      </x:c>
      <x:c r="F4" s="15" t="str">
        <x:v>入选Skill数</x:v>
      </x:c>
      <x:c r="G4" s="15" t="str">
        <x:v>来源形态</x:v>
      </x:c>
    </x:row>
    <x:row r="5">
      <x:c r="A5" s="19" t="str">
        <x:v>Community-Access/accessibility-agents</x:v>
      </x:c>
      <x:c r="B5" s="19" t="str">
        <x:v>https://github.com/Community-Access/accessibility-agents</x:v>
      </x:c>
      <x:c r="C5" s="19" t="n">
        <x:v>382</x:v>
      </x:c>
      <x:c r="D5" s="19" t="str">
        <x:v>2026-08-04</x:v>
      </x:c>
      <x:c r="E5" s="19" t="str">
        <x:v>MIT</x:v>
      </x:c>
      <x:c r="F5" s="19" t="n">
        <x:f>COUNTIF('Skill总表'!$G$5:$G$26,A5)</x:f>
        <x:v>2</x:v>
      </x:c>
      <x:c r="G5" s="19" t="str">
        <x:v>社区 skill、开源仓库</x:v>
      </x:c>
    </x:row>
    <x:row r="6">
      <x:c r="A6" s="19" t="str">
        <x:v>EvotecIT/OfficeIMO</x:v>
      </x:c>
      <x:c r="B6" s="19" t="str">
        <x:v>https://github.com/EvotecIT/OfficeIMO</x:v>
      </x:c>
      <x:c r="C6" s="19" t="n">
        <x:v>499</x:v>
      </x:c>
      <x:c r="D6" s="19" t="str">
        <x:v>2026-08-06</x:v>
      </x:c>
      <x:c r="E6" s="19" t="str">
        <x:v>MIT</x:v>
      </x:c>
      <x:c r="F6" s="19" t="n">
        <x:f>COUNTIF('Skill总表'!$G$5:$G$26,A6)</x:f>
        <x:v>1</x:v>
      </x:c>
      <x:c r="G6" s="19" t="str">
        <x:v>社区 skill、开源仓库</x:v>
      </x:c>
    </x:row>
    <x:row r="7">
      <x:c r="A7" s="19" t="str">
        <x:v>K-Dense-AI/scientific-agent-skills</x:v>
      </x:c>
      <x:c r="B7" s="19" t="str">
        <x:v>https://github.com/K-Dense-AI/scientific-agent-skills</x:v>
      </x:c>
      <x:c r="C7" s="19" t="n">
        <x:v>32811</x:v>
      </x:c>
      <x:c r="D7" s="19" t="str">
        <x:v>2026-08-03</x:v>
      </x:c>
      <x:c r="E7" s="19" t="str">
        <x:v>MIT</x:v>
      </x:c>
      <x:c r="F7" s="19" t="n">
        <x:f>COUNTIF('Skill总表'!$G$5:$G$26,A7)</x:f>
        <x:v>2</x:v>
      </x:c>
      <x:c r="G7" s="19" t="str">
        <x:v>社区 skill、开源仓库</x:v>
      </x:c>
    </x:row>
    <x:row r="8">
      <x:c r="A8" s="19" t="str">
        <x:v>Leo1998-Lu/ai-paper2slide-skill</x:v>
      </x:c>
      <x:c r="B8" s="19" t="str">
        <x:v>https://github.com/Leo1998-Lu/ai-paper2slide-skill</x:v>
      </x:c>
      <x:c r="C8" s="19" t="n">
        <x:v>95</x:v>
      </x:c>
      <x:c r="D8" s="19" t="str">
        <x:v>2026-07-08</x:v>
      </x:c>
      <x:c r="E8" s="19" t="str">
        <x:v>MIT</x:v>
      </x:c>
      <x:c r="F8" s="19" t="n">
        <x:f>COUNTIF('Skill总表'!$G$5:$G$26,A8)</x:f>
        <x:v>1</x:v>
      </x:c>
      <x:c r="G8" s="19" t="str">
        <x:v>社区 skill、开源仓库</x:v>
      </x:c>
    </x:row>
    <x:row r="9">
      <x:c r="A9" s="19" t="str">
        <x:v>anthropics/skills</x:v>
      </x:c>
      <x:c r="B9" s="19" t="str">
        <x:v>https://github.com/anthropics/skills</x:v>
      </x:c>
      <x:c r="C9" s="19" t="n">
        <x:v>166590</x:v>
      </x:c>
      <x:c r="D9" s="19" t="str">
        <x:v>2026-07-24</x:v>
      </x:c>
      <x:c r="E9" s="19" t="str">
        <x:v>各技能目录独立许可证</x:v>
      </x:c>
      <x:c r="F9" s="19" t="n">
        <x:f>COUNTIF('Skill总表'!$G$5:$G$26,A9)</x:f>
        <x:v>5</x:v>
      </x:c>
      <x:c r="G9" s="19" t="str">
        <x:v>官方发布、开源仓库</x:v>
      </x:c>
    </x:row>
    <x:row r="10">
      <x:c r="A10" s="19" t="str">
        <x:v>bowenliang123/markdown-exporter</x:v>
      </x:c>
      <x:c r="B10" s="19" t="str">
        <x:v>https://github.com/bowenliang123/markdown-exporter</x:v>
      </x:c>
      <x:c r="C10" s="19" t="n">
        <x:v>258</x:v>
      </x:c>
      <x:c r="D10" s="19" t="str">
        <x:v>2026-07-16</x:v>
      </x:c>
      <x:c r="E10" s="19" t="str">
        <x:v>Apache-2.0</x:v>
      </x:c>
      <x:c r="F10" s="19" t="n">
        <x:f>COUNTIF('Skill总表'!$G$5:$G$26,A10)</x:f>
        <x:v>1</x:v>
      </x:c>
      <x:c r="G10" s="19" t="str">
        <x:v>社区 skill、开源仓库</x:v>
      </x:c>
    </x:row>
    <x:row r="11">
      <x:c r="A11" s="19" t="str">
        <x:v>claude-office-skills/skills</x:v>
      </x:c>
      <x:c r="B11" s="19" t="str">
        <x:v>https://github.com/claude-office-skills/skills</x:v>
      </x:c>
      <x:c r="C11" s="19" t="n">
        <x:v>362</x:v>
      </x:c>
      <x:c r="D11" s="19" t="str">
        <x:v>2026-01-31</x:v>
      </x:c>
      <x:c r="E11" s="19" t="str">
        <x:v>MIT</x:v>
      </x:c>
      <x:c r="F11" s="19" t="n">
        <x:f>COUNTIF('Skill总表'!$G$5:$G$26,A11)</x:f>
        <x:v>6</x:v>
      </x:c>
      <x:c r="G11" s="19" t="str">
        <x:v>社区 skill、开源仓库</x:v>
      </x:c>
    </x:row>
    <x:row r="12">
      <x:c r="A12" s="19" t="str">
        <x:v>dachent/skills</x:v>
      </x:c>
      <x:c r="B12" s="19" t="str">
        <x:v>https://github.com/dachent/skills</x:v>
      </x:c>
      <x:c r="C12" s="19" t="n">
        <x:v>18</x:v>
      </x:c>
      <x:c r="D12" s="19" t="str">
        <x:v>2026-08-03</x:v>
      </x:c>
      <x:c r="E12" s="19" t="str">
        <x:v>MIT</x:v>
      </x:c>
      <x:c r="F12" s="19" t="n">
        <x:f>COUNTIF('Skill总表'!$G$5:$G$26,A12)</x:f>
        <x:v>1</x:v>
      </x:c>
      <x:c r="G12" s="19" t="str">
        <x:v>社区 skill、开源仓库</x:v>
      </x:c>
    </x:row>
    <x:row r="13">
      <x:c r="A13" s="19" t="str">
        <x:v>kangminlee-maker/excel-workbook-editing</x:v>
      </x:c>
      <x:c r="B13" s="19" t="str">
        <x:v>https://github.com/kangminlee-maker/excel-workbook-editing</x:v>
      </x:c>
      <x:c r="C13" s="19" t="n">
        <x:v>0</x:v>
      </x:c>
      <x:c r="D13" s="19" t="str">
        <x:v>2026-06-29</x:v>
      </x:c>
      <x:c r="E13" s="19" t="str">
        <x:v>MIT</x:v>
      </x:c>
      <x:c r="F13" s="19" t="n">
        <x:f>COUNTIF('Skill总表'!$G$5:$G$26,A13)</x:f>
        <x:v>1</x:v>
      </x:c>
      <x:c r="G13" s="19" t="str">
        <x:v>社区 skill、开源仓库</x:v>
      </x:c>
    </x:row>
    <x:row r="14">
      <x:c r="A14" s="19" t="str">
        <x:v>openai/skills</x:v>
      </x:c>
      <x:c r="B14" s="19" t="str">
        <x:v>https://github.com/openai/skills</x:v>
      </x:c>
      <x:c r="C14" s="19" t="n">
        <x:v>24564</x:v>
      </x:c>
      <x:c r="D14" s="19" t="str">
        <x:v>2026-07-14</x:v>
      </x:c>
      <x:c r="E14" s="19" t="str">
        <x:v>各技能目录独立许可证</x:v>
      </x:c>
      <x:c r="F14" s="19" t="n">
        <x:f>COUNTIF('Skill总表'!$G$5:$G$26,A14)</x:f>
        <x:v>1</x:v>
      </x:c>
      <x:c r="G14" s="19" t="str">
        <x:v>官方发布、开源仓库</x:v>
      </x:c>
    </x:row>
    <x:row r="15">
      <x:c r="A15" s="19" t="str">
        <x:v>zLanqing/codex-claude-academic-skills</x:v>
      </x:c>
      <x:c r="B15" s="19" t="str">
        <x:v>https://github.com/zLanqing/codex-claude-academic-skills</x:v>
      </x:c>
      <x:c r="C15" s="19" t="n">
        <x:v>2613</x:v>
      </x:c>
      <x:c r="D15" s="19" t="str">
        <x:v>2026-05-14</x:v>
      </x:c>
      <x:c r="E15" s="19" t="str">
        <x:v>MIT</x:v>
      </x:c>
      <x:c r="F15" s="19" t="n">
        <x:f>COUNTIF('Skill总表'!$G$5:$G$26,A15)</x:f>
        <x:v>1</x:v>
      </x:c>
      <x:c r="G15" s="19" t="str">
        <x:v>社区 skill、开源仓库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b32fe5f63a04bb4"/>
  </x:tableParts>
</x:worksheet>
</file>