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0e931d92d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1719516b70b4caa"/>
    <x:sheet xmlns:r="http://schemas.openxmlformats.org/officeDocument/2006/relationships" name="Skill总表" sheetId="2" r:id="R3ca5ebd456a14fa4"/>
    <x:sheet xmlns:r="http://schemas.openxmlformats.org/officeDocument/2006/relationships" name="分类统计" sheetId="3" r:id="R6ab6ae79172f46e0"/>
    <x:sheet xmlns:r="http://schemas.openxmlformats.org/officeDocument/2006/relationships" name="来源清单" sheetId="4" r:id="R00d514b54f11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0"/>
      </x:patternFill>
    </x:fill>
    <x:fill>
      <x:patternFill patternType="solid">
        <x:fgColor rgb="FF1F6F8B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324F"/>
      </x:font>
      <x:fill>
        <x:patternFill patternType="solid">
          <x:bgColor rgb="FFDDF3E4"/>
        </x:patternFill>
      </x:fill>
    </x:dxf>
    <x:dxf>
      <x:fill>
        <x:patternFill patternType="solid">
          <x:bgColor rgb="FFDCEAF0"/>
        </x:patternFill>
      </x:fill>
    </x:dxf>
    <x:dxf>
      <x:fill>
        <x:patternFill patternType="solid">
          <x:bgColor rgb="FFFFF0C7"/>
        </x:patternFill>
      </x:fill>
    </x:dxf>
    <x:dxf>
      <x:font>
        <x:b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45bdadad94559" /><Relationship Type="http://schemas.openxmlformats.org/officeDocument/2006/relationships/theme" Target="/xl/theme/theme1.xml" Id="Ra61380ec50604dd3" /><Relationship Type="http://schemas.openxmlformats.org/officeDocument/2006/relationships/sharedStrings" Target="/xl/sharedStrings.xml" Id="Rdd5dbd0f665e48c8" /><Relationship Type="http://schemas.openxmlformats.org/officeDocument/2006/relationships/worksheet" Target="/xl/worksheets/sheet1.xml" Id="Rb1719516b70b4caa" /><Relationship Type="http://schemas.openxmlformats.org/officeDocument/2006/relationships/worksheet" Target="/xl/worksheets/sheet2.xml" Id="R3ca5ebd456a14fa4" /><Relationship Type="http://schemas.openxmlformats.org/officeDocument/2006/relationships/worksheet" Target="/xl/worksheets/sheet3.xml" Id="R6ab6ae79172f46e0" /><Relationship Type="http://schemas.openxmlformats.org/officeDocument/2006/relationships/worksheet" Target="/xl/worksheets/sheet4.xml" Id="R00d514b54f1145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951e81495145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兼容等级分布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'分类统计'!$A$13:$A$16</c:f>
              <c:strCache>
                <c:ptCount val="0"/>
              </c:strCache>
            </c:strRef>
          </c:cat>
          <c:val>
            <c:numRef>
              <c:f>'分类统计'!$B$13:$B$16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951e81495145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illTable05" displayName="SkillTable05" ref="A4:V59" headerRowCount="1" totalsRowCount="0" totalsRowShown="0">
  <x:tableColumns count="22">
    <x:tableColumn id="1" name="序号"/>
    <x:tableColumn id="2" name="Skill ID"/>
    <x:tableColumn id="3" name="Skill名称"/>
    <x:tableColumn id="4" name="中文定位"/>
    <x:tableColumn id="5" name="简略功能"/>
    <x:tableColumn id="6" name="Skill地址"/>
    <x:tableColumn id="7" name="GitHub仓库"/>
    <x:tableColumn id="8" name="仓库地址"/>
    <x:tableColumn id="9" name="生态"/>
    <x:tableColumn id="10" name="来源形态"/>
    <x:tableColumn id="11" name="功能标签"/>
    <x:tableColumn id="12" name="适用角色"/>
    <x:tableColumn id="13" name="典型场景"/>
    <x:tableColumn id="14" name="兼容等级"/>
    <x:tableColumn id="15" name="适配建议"/>
    <x:tableColumn id="16" name="依赖条件"/>
    <x:tableColumn id="17" name="风险与边界"/>
    <x:tableColumn id="18" name="验证层级"/>
    <x:tableColumn id="19" name="优先级"/>
    <x:tableColumn id="20" name="Stars"/>
    <x:tableColumn id="21" name="最近推送"/>
    <x:tableColumn id="22" name="许可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able05" displayName="SourceTable05" ref="A4:G10" headerRowCount="1" totalsRowCount="0" totalsRowShown="0">
  <x:tableColumns count="7">
    <x:tableColumn id="1" name="GitHub仓库"/>
    <x:tableColumn id="2" name="仓库地址"/>
    <x:tableColumn id="3" name="Stars"/>
    <x:tableColumn id="4" name="最近推送"/>
    <x:tableColumn id="5" name="许可证"/>
    <x:tableColumn id="6" name="入选Skill数"/>
    <x:tableColumn id="7" name="来源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088fce7b0a4c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6197620d0b0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f87ea33ac1644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28" hidden="0" customWidth="1"/>
    <x:col min="4" max="4" width="28" hidden="0" customWidth="1"/>
  </x:cols>
  <x:sheetData>
    <x:row r="1" ht="38" customHeight="1">
      <x:c r="A1" s="3" t="str">
        <x:v>编程、数学、数据分析和可视化｜GitHub Skill 调研</x:v>
      </x:c>
      <x:c r="B1" s="3"/>
      <x:c r="C1" s="3"/>
      <x:c r="D1" s="3"/>
      <x:c r="E1" s="3"/>
      <x:c r="F1" s="3"/>
      <x:c r="G1" s="3"/>
      <x:c r="H1" s="3"/>
    </x:row>
    <x:row r="2">
      <x:c r="A2" s="6" t="str">
        <x:v>独立分类交付物｜仅含入选项｜数据日期 2026-08-06</x:v>
      </x:c>
      <x:c r="B2" s="6"/>
      <x:c r="C2" s="6"/>
      <x:c r="D2" s="6"/>
      <x:c r="E2" s="6"/>
      <x:c r="F2" s="6"/>
      <x:c r="G2" s="6"/>
      <x:c r="H2" s="6"/>
    </x:row>
    <x:row r="4">
      <x:c r="A4" s="9" t="str">
        <x:v>项目</x:v>
      </x:c>
      <x:c r="B4" s="9" t="str">
        <x:v>说明</x:v>
      </x:c>
    </x:row>
    <x:row r="5">
      <x:c r="A5" s="12" t="str">
        <x:v>调研范围</x:v>
      </x:c>
      <x:c r="B5" s="13" t="str">
        <x:v>仅 GitHub；其他平台与市场不在本轮交付范围</x:v>
      </x:c>
    </x:row>
    <x:row r="6">
      <x:c r="A6" s="12" t="str">
        <x:v>分类</x:v>
      </x:c>
      <x:c r="B6" s="13" t="str">
        <x:v>编程、数学、数据分析和可视化</x:v>
      </x:c>
    </x:row>
    <x:row r="7">
      <x:c r="A7" s="12" t="str">
        <x:v>入选数量</x:v>
      </x:c>
      <x:c r="B7" s="13" t="n">
        <x:v>55</x:v>
      </x:c>
    </x:row>
    <x:row r="8">
      <x:c r="A8" s="12" t="str">
        <x:v>内容验证</x:v>
      </x:c>
      <x:c r="B8" s="13" t="str">
        <x:v>读取 SKILL.md/README；部分候选进一步检查脚本、references、assets 和仓库结构</x:v>
      </x:c>
    </x:row>
    <x:row r="9">
      <x:c r="A9" s="12" t="str">
        <x:v>运行验证</x:v>
      </x:c>
      <x:c r="B9" s="13" t="str">
        <x:v>未安装、未执行；仅在用户另行指令后开展</x:v>
      </x:c>
    </x:row>
    <x:row r="10">
      <x:c r="A10" s="12" t="str">
        <x:v>排除项</x:v>
      </x:c>
      <x:c r="B10" s="13" t="str">
        <x:v>不进入本表；仅保存在项目内部归档</x:v>
      </x:c>
    </x:row>
    <x:row r="12">
      <x:c r="A12" s="14" t="str">
        <x:v>兼容等级释义</x:v>
      </x:c>
      <x:c r="B12" s="14"/>
      <x:c r="C12" s="14"/>
      <x:c r="D12" s="14"/>
      <x:c r="E12" s="14"/>
      <x:c r="F12" s="14"/>
      <x:c r="G12" s="14"/>
      <x:c r="H12" s="14"/>
    </x:row>
    <x:row r="13">
      <x:c r="A13" s="15" t="str">
        <x:v>等级</x:v>
      </x:c>
      <x:c r="B13" s="15" t="str">
        <x:v>含义</x:v>
      </x:c>
      <x:c r="C13" s="15" t="str">
        <x:v>建议</x:v>
      </x:c>
      <x:c r="D13" s="15" t="str">
        <x:v>备注</x:v>
      </x:c>
    </x:row>
    <x:row r="14">
      <x:c r="A14" s="13" t="str">
        <x:v>A</x:v>
      </x:c>
      <x:c r="B14" s="13" t="str">
        <x:v>可直接按 Agent Skill/Codex skill 结构使用</x:v>
      </x:c>
      <x:c r="C14" s="13" t="str">
        <x:v>优先试点</x:v>
      </x:c>
      <x:c r="D14" s="13" t="str">
        <x:v>仍需按本校工具和制度补充配置</x:v>
      </x:c>
    </x:row>
    <x:row r="15">
      <x:c r="A15" s="13" t="str">
        <x:v>B</x:v>
      </x:c>
      <x:c r="B15" s="13" t="str">
        <x:v>核心工作流可移植，需要替换工具或路径</x:v>
      </x:c>
      <x:c r="C15" s="13" t="str">
        <x:v>列入适配队列</x:v>
      </x:c>
      <x:c r="D15" s="13" t="str">
        <x:v>通常依赖外部 API、脚本或相邻 skill</x:v>
      </x:c>
    </x:row>
    <x:row r="16">
      <x:c r="A16" s="13" t="str">
        <x:v>C</x:v>
      </x:c>
      <x:c r="B16" s="13" t="str">
        <x:v>可借鉴，但需明显重写或部署配套服务</x:v>
      </x:c>
      <x:c r="C16" s="13" t="str">
        <x:v>场景验证后再建设</x:v>
      </x:c>
      <x:c r="D16" s="13" t="str">
        <x:v>关注维护、权限与部署成本</x:v>
      </x:c>
    </x:row>
    <x:row r="17">
      <x:c r="A17" s="13" t="str">
        <x:v>D</x:v>
      </x:c>
      <x:c r="B17" s="13" t="str">
        <x:v>主要作为方法或模板参考</x:v>
      </x:c>
      <x:c r="C17" s="13" t="str">
        <x:v>按需吸收</x:v>
      </x:c>
      <x:c r="D17" s="13" t="str">
        <x:v>不建议原样接入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4" hidden="0" customWidth="1"/>
    <x:col min="5" max="5" width="42" hidden="0" customWidth="1"/>
    <x:col min="6" max="6" width="55" hidden="0" customWidth="1"/>
    <x:col min="7" max="7" width="37" hidden="0" customWidth="1"/>
    <x:col min="8" max="8" width="46" hidden="0" customWidth="1"/>
    <x:col min="9" max="9" width="30" hidden="0" customWidth="1"/>
    <x:col min="10" max="10" width="30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15" hidden="0" customWidth="1"/>
    <x:col min="19" max="19" width="15" hidden="0" customWidth="1"/>
    <x:col min="20" max="20" width="11" hidden="0" customWidth="1"/>
    <x:col min="21" max="21" width="14" hidden="0" customWidth="1"/>
    <x:col min="22" max="22" width="20" hidden="0" customWidth="1"/>
  </x:cols>
  <x:sheetData>
    <x:row r="1" ht="34" customHeight="1">
      <x:c r="A1" s="16" t="str">
        <x:v>编程、数学、数据分析和可视化｜入选 Skill 总表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>
      <x:c r="A2" s="5" t="str">
        <x:v>共 55 项；地址为纯文本 GitHub URL；验证不含安装或运行。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 ht="32" customHeight="1">
      <x:c r="A4" s="15" t="str">
        <x:v>序号</x:v>
      </x:c>
      <x:c r="B4" s="15" t="str">
        <x:v>Skill ID</x:v>
      </x:c>
      <x:c r="C4" s="15" t="str">
        <x:v>Skill名称</x:v>
      </x:c>
      <x:c r="D4" s="15" t="str">
        <x:v>中文定位</x:v>
      </x:c>
      <x:c r="E4" s="15" t="str">
        <x:v>简略功能</x:v>
      </x:c>
      <x:c r="F4" s="15" t="str">
        <x:v>Skill地址</x:v>
      </x:c>
      <x:c r="G4" s="15" t="str">
        <x:v>GitHub仓库</x:v>
      </x:c>
      <x:c r="H4" s="15" t="str">
        <x:v>仓库地址</x:v>
      </x:c>
      <x:c r="I4" s="15" t="str">
        <x:v>生态</x:v>
      </x:c>
      <x:c r="J4" s="15" t="str">
        <x:v>来源形态</x:v>
      </x:c>
      <x:c r="K4" s="15" t="str">
        <x:v>功能标签</x:v>
      </x:c>
      <x:c r="L4" s="15" t="str">
        <x:v>适用角色</x:v>
      </x:c>
      <x:c r="M4" s="15" t="str">
        <x:v>典型场景</x:v>
      </x:c>
      <x:c r="N4" s="15" t="str">
        <x:v>兼容等级</x:v>
      </x:c>
      <x:c r="O4" s="15" t="str">
        <x:v>适配建议</x:v>
      </x:c>
      <x:c r="P4" s="15" t="str">
        <x:v>依赖条件</x:v>
      </x:c>
      <x:c r="Q4" s="15" t="str">
        <x:v>风险与边界</x:v>
      </x:c>
      <x:c r="R4" s="15" t="str">
        <x:v>验证层级</x:v>
      </x:c>
      <x:c r="S4" s="15" t="str">
        <x:v>优先级</x:v>
      </x:c>
      <x:c r="T4" s="15" t="str">
        <x:v>Stars</x:v>
      </x:c>
      <x:c r="U4" s="15" t="str">
        <x:v>最近推送</x:v>
      </x:c>
      <x:c r="V4" s="15" t="str">
        <x:v>许可证</x:v>
      </x:c>
    </x:row>
    <x:row r="5" ht="58" customHeight="1">
      <x:c r="A5" s="20" t="n">
        <x:v>1</x:v>
      </x:c>
      <x:c r="B5" s="20" t="str">
        <x:v>GH-05-0001</x:v>
      </x:c>
      <x:c r="C5" s="19" t="str">
        <x:v>get-available-resources</x:v>
      </x:c>
      <x:c r="D5" s="19" t="str">
        <x:v>计算资源侦测与策略建议</x:v>
      </x:c>
      <x:c r="E5" s="19" t="str">
        <x:v>在计算密集任务前只读盘点 CPU、GPU、内存和磁盘，并据此建议并行、分块或外存策略。</x:v>
      </x:c>
      <x:c r="F5" s="19" t="str">
        <x:v>https://github.com/K-Dense-AI/scientific-agent-skills/blob/main/skills/get-available-resources/SKILL.md</x:v>
      </x:c>
      <x:c r="G5" s="19" t="str">
        <x:v>K-Dense-AI/scientific-agent-skills</x:v>
      </x:c>
      <x:c r="H5" s="19" t="str">
        <x:v>https://github.com/K-Dense-AI/scientific-agent-skills</x:v>
      </x:c>
      <x:c r="I5" s="19" t="str">
        <x:v>Agent Skills（兼容 Codex、Claude Code、Cursor 等）</x:v>
      </x:c>
      <x:c r="J5" s="19" t="str">
        <x:v>社区 skill、GitHub 开源仓库</x:v>
      </x:c>
      <x:c r="K5" s="19" t="str">
        <x:v>CPU、GPU、内存、磁盘、计算规划</x:v>
      </x:c>
      <x:c r="L5" s="19" t="str">
        <x:v>学生、教师、科研人员、数据与技术支持人员</x:v>
      </x:c>
      <x:c r="M5" s="19" t="str">
        <x:v>课程作业、科研数据处理、统计建模、机器学习和科学图表</x:v>
      </x:c>
      <x:c r="N5" s="21" t="str">
        <x:v>A</x:v>
      </x:c>
      <x:c r="O5" s="19" t="str">
        <x:v>按 Codex skill 结构接入；固定依赖版本，并为本校数据与算力环境补充预检。</x:v>
      </x:c>
      <x:c r="P5" s="19" t="str">
        <x:v>Python 及相应科学计算包；部分技能需要 GPU、网络、许可证或较大内存</x:v>
      </x:c>
      <x:c r="Q5" s="19" t="str">
        <x:v>必须先核对数据授权、版本、计算资源和方法假设；示例代码不等同于已验证结果。</x:v>
      </x:c>
      <x:c r="R5" s="21" t="str">
        <x:v>二级包内容验证</x:v>
      </x:c>
      <x:c r="S5" s="21" t="str">
        <x:v>高</x:v>
      </x:c>
      <x:c r="T5" s="20" t="n">
        <x:v>32822</x:v>
      </x:c>
      <x:c r="U5" s="20" t="str">
        <x:v>2026-08-03</x:v>
      </x:c>
      <x:c r="V5" s="18" t="str">
        <x:v>MIT</x:v>
      </x:c>
    </x:row>
    <x:row r="6" ht="58" customHeight="1">
      <x:c r="A6" s="20" t="n">
        <x:v>2</x:v>
      </x:c>
      <x:c r="B6" s="20" t="str">
        <x:v>GH-05-0002</x:v>
      </x:c>
      <x:c r="C6" s="19" t="str">
        <x:v>exploratory-data-analysis</x:v>
      </x:c>
      <x:c r="D6" s="19" t="str">
        <x:v>可复现探索性数据分析</x:v>
      </x:c>
      <x:c r="E6" s="19" t="str">
        <x:v>以授权范围、数据质量、分布、关系、异常和可复现输出为主线开展探索性分析。</x:v>
      </x:c>
      <x:c r="F6" s="19" t="str">
        <x:v>https://github.com/K-Dense-AI/scientific-agent-skills/blob/main/skills/exploratory-data-analysis/SKILL.md</x:v>
      </x:c>
      <x:c r="G6" s="19" t="str">
        <x:v>K-Dense-AI/scientific-agent-skills</x:v>
      </x:c>
      <x:c r="H6" s="19" t="str">
        <x:v>https://github.com/K-Dense-AI/scientific-agent-skills</x:v>
      </x:c>
      <x:c r="I6" s="19" t="str">
        <x:v>Agent Skills（兼容 Codex、Claude Code、Cursor 等）</x:v>
      </x:c>
      <x:c r="J6" s="19" t="str">
        <x:v>社区 skill、GitHub 开源仓库</x:v>
      </x:c>
      <x:c r="K6" s="19" t="str">
        <x:v>EDA、数据质量、分布、异常、报告</x:v>
      </x:c>
      <x:c r="L6" s="19" t="str">
        <x:v>学生、教师、科研人员、数据与技术支持人员</x:v>
      </x:c>
      <x:c r="M6" s="19" t="str">
        <x:v>课程作业、科研数据处理、统计建模、机器学习和科学图表</x:v>
      </x:c>
      <x:c r="N6" s="21" t="str">
        <x:v>A</x:v>
      </x:c>
      <x:c r="O6" s="19" t="str">
        <x:v>按 Codex skill 结构接入；固定依赖版本，并为本校数据与算力环境补充预检。</x:v>
      </x:c>
      <x:c r="P6" s="19" t="str">
        <x:v>Python 及相应科学计算包；部分技能需要 GPU、网络、许可证或较大内存</x:v>
      </x:c>
      <x:c r="Q6" s="19" t="str">
        <x:v>必须先核对数据授权、版本、计算资源和方法假设；示例代码不等同于已验证结果。</x:v>
      </x:c>
      <x:c r="R6" s="21" t="str">
        <x:v>二级包内容验证</x:v>
      </x:c>
      <x:c r="S6" s="21" t="str">
        <x:v>高</x:v>
      </x:c>
      <x:c r="T6" s="20" t="n">
        <x:v>32822</x:v>
      </x:c>
      <x:c r="U6" s="20" t="str">
        <x:v>2026-08-03</x:v>
      </x:c>
      <x:c r="V6" s="18" t="str">
        <x:v>MIT</x:v>
      </x:c>
    </x:row>
    <x:row r="7" ht="58" customHeight="1">
      <x:c r="A7" s="20" t="n">
        <x:v>3</x:v>
      </x:c>
      <x:c r="B7" s="20" t="str">
        <x:v>GH-05-0003</x:v>
      </x:c>
      <x:c r="C7" s="19" t="str">
        <x:v>dask</x:v>
      </x:c>
      <x:c r="D7" s="19" t="str">
        <x:v>Dask 并行与大数据处理</x:v>
      </x:c>
      <x:c r="E7" s="19" t="str">
        <x:v>用 Dask DataFrame、Array 和任务调度扩展超出单机内存或需并行的数据工作负载。</x:v>
      </x:c>
      <x:c r="F7" s="19" t="str">
        <x:v>https://github.com/K-Dense-AI/scientific-agent-skills/blob/main/skills/dask/SKILL.md</x:v>
      </x:c>
      <x:c r="G7" s="19" t="str">
        <x:v>K-Dense-AI/scientific-agent-skills</x:v>
      </x:c>
      <x:c r="H7" s="19" t="str">
        <x:v>https://github.com/K-Dense-AI/scientific-agent-skills</x:v>
      </x:c>
      <x:c r="I7" s="19" t="str">
        <x:v>Agent Skills（兼容 Codex、Claude Code、Cursor 等）</x:v>
      </x:c>
      <x:c r="J7" s="19" t="str">
        <x:v>社区 skill、GitHub 开源仓库</x:v>
      </x:c>
      <x:c r="K7" s="19" t="str">
        <x:v>Dask、并行计算、分布式、DataFrame</x:v>
      </x:c>
      <x:c r="L7" s="19" t="str">
        <x:v>学生、教师、科研人员、数据与技术支持人员</x:v>
      </x:c>
      <x:c r="M7" s="19" t="str">
        <x:v>课程作业、科研数据处理、统计建模、机器学习和科学图表</x:v>
      </x:c>
      <x:c r="N7" s="21" t="str">
        <x:v>A</x:v>
      </x:c>
      <x:c r="O7" s="19" t="str">
        <x:v>按 Codex skill 结构接入；固定依赖版本，并为本校数据与算力环境补充预检。</x:v>
      </x:c>
      <x:c r="P7" s="19" t="str">
        <x:v>Python 及相应科学计算包；部分技能需要 GPU、网络、许可证或较大内存</x:v>
      </x:c>
      <x:c r="Q7" s="19" t="str">
        <x:v>必须先核对数据授权、版本、计算资源和方法假设；示例代码不等同于已验证结果。</x:v>
      </x:c>
      <x:c r="R7" s="21" t="str">
        <x:v>二级包内容验证</x:v>
      </x:c>
      <x:c r="S7" s="21" t="str">
        <x:v>中</x:v>
      </x:c>
      <x:c r="T7" s="20" t="n">
        <x:v>32822</x:v>
      </x:c>
      <x:c r="U7" s="20" t="str">
        <x:v>2026-08-03</x:v>
      </x:c>
      <x:c r="V7" s="18" t="str">
        <x:v>MIT</x:v>
      </x:c>
    </x:row>
    <x:row r="8" ht="58" customHeight="1">
      <x:c r="A8" s="20" t="n">
        <x:v>4</x:v>
      </x:c>
      <x:c r="B8" s="20" t="str">
        <x:v>GH-05-0004</x:v>
      </x:c>
      <x:c r="C8" s="19" t="str">
        <x:v>polars</x:v>
      </x:c>
      <x:c r="D8" s="19" t="str">
        <x:v>Polars 高性能表格处理</x:v>
      </x:c>
      <x:c r="E8" s="19" t="str">
        <x:v>使用 Polars 的表达式、惰性执行和列式计算构建快速、可审计的数据转换流程。</x:v>
      </x:c>
      <x:c r="F8" s="19" t="str">
        <x:v>https://github.com/K-Dense-AI/scientific-agent-skills/blob/main/skills/polars/SKILL.md</x:v>
      </x:c>
      <x:c r="G8" s="19" t="str">
        <x:v>K-Dense-AI/scientific-agent-skills</x:v>
      </x:c>
      <x:c r="H8" s="19" t="str">
        <x:v>https://github.com/K-Dense-AI/scientific-agent-skills</x:v>
      </x:c>
      <x:c r="I8" s="19" t="str">
        <x:v>Agent Skills（兼容 Codex、Claude Code、Cursor 等）</x:v>
      </x:c>
      <x:c r="J8" s="19" t="str">
        <x:v>社区 skill、GitHub 开源仓库</x:v>
      </x:c>
      <x:c r="K8" s="19" t="str">
        <x:v>Polars、DataFrame、惰性执行、ETL</x:v>
      </x:c>
      <x:c r="L8" s="19" t="str">
        <x:v>学生、教师、科研人员、数据与技术支持人员</x:v>
      </x:c>
      <x:c r="M8" s="19" t="str">
        <x:v>课程作业、科研数据处理、统计建模、机器学习和科学图表</x:v>
      </x:c>
      <x:c r="N8" s="21" t="str">
        <x:v>A</x:v>
      </x:c>
      <x:c r="O8" s="19" t="str">
        <x:v>按 Codex skill 结构接入；固定依赖版本，并为本校数据与算力环境补充预检。</x:v>
      </x:c>
      <x:c r="P8" s="19" t="str">
        <x:v>Python 及相应科学计算包；部分技能需要 GPU、网络、许可证或较大内存</x:v>
      </x:c>
      <x:c r="Q8" s="19" t="str">
        <x:v>必须先核对数据授权、版本、计算资源和方法假设；示例代码不等同于已验证结果。</x:v>
      </x:c>
      <x:c r="R8" s="21" t="str">
        <x:v>二级包内容验证</x:v>
      </x:c>
      <x:c r="S8" s="21" t="str">
        <x:v>中</x:v>
      </x:c>
      <x:c r="T8" s="20" t="n">
        <x:v>32822</x:v>
      </x:c>
      <x:c r="U8" s="20" t="str">
        <x:v>2026-08-03</x:v>
      </x:c>
      <x:c r="V8" s="18" t="str">
        <x:v>MIT</x:v>
      </x:c>
    </x:row>
    <x:row r="9" ht="58" customHeight="1">
      <x:c r="A9" s="20" t="n">
        <x:v>5</x:v>
      </x:c>
      <x:c r="B9" s="20" t="str">
        <x:v>GH-05-0005</x:v>
      </x:c>
      <x:c r="C9" s="19" t="str">
        <x:v>vaex</x:v>
      </x:c>
      <x:c r="D9" s="19" t="str">
        <x:v>Vaex 超大表格分析</x:v>
      </x:c>
      <x:c r="E9" s="19" t="str">
        <x:v>借助内存映射和延迟计算交互分析超大表格数据，减少内存占用。</x:v>
      </x:c>
      <x:c r="F9" s="19" t="str">
        <x:v>https://github.com/K-Dense-AI/scientific-agent-skills/blob/main/skills/vaex/SKILL.md</x:v>
      </x:c>
      <x:c r="G9" s="19" t="str">
        <x:v>K-Dense-AI/scientific-agent-skills</x:v>
      </x:c>
      <x:c r="H9" s="19" t="str">
        <x:v>https://github.com/K-Dense-AI/scientific-agent-skills</x:v>
      </x:c>
      <x:c r="I9" s="19" t="str">
        <x:v>Agent Skills（兼容 Codex、Claude Code、Cursor 等）</x:v>
      </x:c>
      <x:c r="J9" s="19" t="str">
        <x:v>社区 skill、GitHub 开源仓库</x:v>
      </x:c>
      <x:c r="K9" s="19" t="str">
        <x:v>Vaex、内存映射、大数据、可视化</x:v>
      </x:c>
      <x:c r="L9" s="19" t="str">
        <x:v>学生、教师、科研人员、数据与技术支持人员</x:v>
      </x:c>
      <x:c r="M9" s="19" t="str">
        <x:v>课程作业、科研数据处理、统计建模、机器学习和科学图表</x:v>
      </x:c>
      <x:c r="N9" s="21" t="str">
        <x:v>A</x:v>
      </x:c>
      <x:c r="O9" s="19" t="str">
        <x:v>按 Codex skill 结构接入；固定依赖版本，并为本校数据与算力环境补充预检。</x:v>
      </x:c>
      <x:c r="P9" s="19" t="str">
        <x:v>Python 及相应科学计算包；部分技能需要 GPU、网络、许可证或较大内存</x:v>
      </x:c>
      <x:c r="Q9" s="19" t="str">
        <x:v>必须先核对数据授权、版本、计算资源和方法假设；示例代码不等同于已验证结果。</x:v>
      </x:c>
      <x:c r="R9" s="21" t="str">
        <x:v>二级包内容验证</x:v>
      </x:c>
      <x:c r="S9" s="21" t="str">
        <x:v>中</x:v>
      </x:c>
      <x:c r="T9" s="20" t="n">
        <x:v>32822</x:v>
      </x:c>
      <x:c r="U9" s="20" t="str">
        <x:v>2026-08-03</x:v>
      </x:c>
      <x:c r="V9" s="18" t="str">
        <x:v>MIT</x:v>
      </x:c>
    </x:row>
    <x:row r="10" ht="58" customHeight="1">
      <x:c r="A10" s="20" t="n">
        <x:v>6</x:v>
      </x:c>
      <x:c r="B10" s="20" t="str">
        <x:v>GH-05-0006</x:v>
      </x:c>
      <x:c r="C10" s="19" t="str">
        <x:v>zarr-python</x:v>
      </x:c>
      <x:c r="D10" s="19" t="str">
        <x:v>Zarr 分块数组存储</x:v>
      </x:c>
      <x:c r="E10" s="19" t="str">
        <x:v>创建、读写和组织带分块与压缩的 N 维数组，支持本地或对象存储工作流。</x:v>
      </x:c>
      <x:c r="F10" s="19" t="str">
        <x:v>https://github.com/K-Dense-AI/scientific-agent-skills/blob/main/skills/zarr-python/SKILL.md</x:v>
      </x:c>
      <x:c r="G10" s="19" t="str">
        <x:v>K-Dense-AI/scientific-agent-skills</x:v>
      </x:c>
      <x:c r="H10" s="19" t="str">
        <x:v>https://github.com/K-Dense-AI/scientific-agent-skills</x:v>
      </x:c>
      <x:c r="I10" s="19" t="str">
        <x:v>Agent Skills（兼容 Codex、Claude Code、Cursor 等）</x:v>
      </x:c>
      <x:c r="J10" s="19" t="str">
        <x:v>社区 skill、GitHub 开源仓库</x:v>
      </x:c>
      <x:c r="K10" s="19" t="str">
        <x:v>Zarr、分块、压缩、云存储、数组</x:v>
      </x:c>
      <x:c r="L10" s="19" t="str">
        <x:v>学生、教师、科研人员、数据与技术支持人员</x:v>
      </x:c>
      <x:c r="M10" s="19" t="str">
        <x:v>课程作业、科研数据处理、统计建模、机器学习和科学图表</x:v>
      </x:c>
      <x:c r="N10" s="21" t="str">
        <x:v>A</x:v>
      </x:c>
      <x:c r="O10" s="19" t="str">
        <x:v>按 Codex skill 结构接入；固定依赖版本，并为本校数据与算力环境补充预检。</x:v>
      </x:c>
      <x:c r="P10" s="19" t="str">
        <x:v>Python 及相应科学计算包；部分技能需要 GPU、网络、许可证或较大内存</x:v>
      </x:c>
      <x:c r="Q10" s="19" t="str">
        <x:v>必须先核对数据授权、版本、计算资源和方法假设；示例代码不等同于已验证结果。</x:v>
      </x:c>
      <x:c r="R10" s="21" t="str">
        <x:v>二级包内容验证</x:v>
      </x:c>
      <x:c r="S10" s="21" t="str">
        <x:v>中</x:v>
      </x:c>
      <x:c r="T10" s="20" t="n">
        <x:v>32822</x:v>
      </x:c>
      <x:c r="U10" s="20" t="str">
        <x:v>2026-08-03</x:v>
      </x:c>
      <x:c r="V10" s="18" t="str">
        <x:v>MIT</x:v>
      </x:c>
    </x:row>
    <x:row r="11" ht="58" customHeight="1">
      <x:c r="A11" s="20" t="n">
        <x:v>7</x:v>
      </x:c>
      <x:c r="B11" s="20" t="str">
        <x:v>GH-05-0007</x:v>
      </x:c>
      <x:c r="C11" s="19" t="str">
        <x:v>matplotlib</x:v>
      </x:c>
      <x:c r="D11" s="19" t="str">
        <x:v>Matplotlib 通用绘图</x:v>
      </x:c>
      <x:c r="E11" s="19" t="str">
        <x:v>用面向对象接口完成可控的二维绘图、布局、标注和多格式导出。</x:v>
      </x:c>
      <x:c r="F11" s="19" t="str">
        <x:v>https://github.com/K-Dense-AI/scientific-agent-skills/blob/main/skills/matplotlib/SKILL.md</x:v>
      </x:c>
      <x:c r="G11" s="19" t="str">
        <x:v>K-Dense-AI/scientific-agent-skills</x:v>
      </x:c>
      <x:c r="H11" s="19" t="str">
        <x:v>https://github.com/K-Dense-AI/scientific-agent-skills</x:v>
      </x:c>
      <x:c r="I11" s="19" t="str">
        <x:v>Agent Skills（兼容 Codex、Claude Code、Cursor 等）</x:v>
      </x:c>
      <x:c r="J11" s="19" t="str">
        <x:v>社区 skill、GitHub 开源仓库</x:v>
      </x:c>
      <x:c r="K11" s="19" t="str">
        <x:v>Matplotlib、静态图、子图、导出</x:v>
      </x:c>
      <x:c r="L11" s="19" t="str">
        <x:v>学生、教师、科研人员、数据与技术支持人员</x:v>
      </x:c>
      <x:c r="M11" s="19" t="str">
        <x:v>课程作业、科研数据处理、统计建模、机器学习和科学图表</x:v>
      </x:c>
      <x:c r="N11" s="21" t="str">
        <x:v>A</x:v>
      </x:c>
      <x:c r="O11" s="19" t="str">
        <x:v>按 Codex skill 结构接入；固定依赖版本，并为本校数据与算力环境补充预检。</x:v>
      </x:c>
      <x:c r="P11" s="19" t="str">
        <x:v>Python 及相应科学计算包；部分技能需要 GPU、网络、许可证或较大内存</x:v>
      </x:c>
      <x:c r="Q11" s="19" t="str">
        <x:v>必须先核对数据授权、版本、计算资源和方法假设；示例代码不等同于已验证结果。</x:v>
      </x:c>
      <x:c r="R11" s="21" t="str">
        <x:v>二级包内容验证</x:v>
      </x:c>
      <x:c r="S11" s="21" t="str">
        <x:v>中</x:v>
      </x:c>
      <x:c r="T11" s="20" t="n">
        <x:v>32822</x:v>
      </x:c>
      <x:c r="U11" s="20" t="str">
        <x:v>2026-08-03</x:v>
      </x:c>
      <x:c r="V11" s="18" t="str">
        <x:v>MIT</x:v>
      </x:c>
    </x:row>
    <x:row r="12" ht="58" customHeight="1">
      <x:c r="A12" s="20" t="n">
        <x:v>8</x:v>
      </x:c>
      <x:c r="B12" s="20" t="str">
        <x:v>GH-05-0008</x:v>
      </x:c>
      <x:c r="C12" s="19" t="str">
        <x:v>seaborn</x:v>
      </x:c>
      <x:c r="D12" s="19" t="str">
        <x:v>Seaborn 统计可视化</x:v>
      </x:c>
      <x:c r="E12" s="19" t="str">
        <x:v>以统计语义快速制作分布、关系和分类比较图，并与 Matplotlib 精细控制协同。</x:v>
      </x:c>
      <x:c r="F12" s="19" t="str">
        <x:v>https://github.com/K-Dense-AI/scientific-agent-skills/blob/main/skills/seaborn/SKILL.md</x:v>
      </x:c>
      <x:c r="G12" s="19" t="str">
        <x:v>K-Dense-AI/scientific-agent-skills</x:v>
      </x:c>
      <x:c r="H12" s="19" t="str">
        <x:v>https://github.com/K-Dense-AI/scientific-agent-skills</x:v>
      </x:c>
      <x:c r="I12" s="19" t="str">
        <x:v>Agent Skills（兼容 Codex、Claude Code、Cursor 等）</x:v>
      </x:c>
      <x:c r="J12" s="19" t="str">
        <x:v>社区 skill、GitHub 开源仓库</x:v>
      </x:c>
      <x:c r="K12" s="19" t="str">
        <x:v>Seaborn、统计图、分布、关系、分类</x:v>
      </x:c>
      <x:c r="L12" s="19" t="str">
        <x:v>学生、教师、科研人员、数据与技术支持人员</x:v>
      </x:c>
      <x:c r="M12" s="19" t="str">
        <x:v>课程作业、科研数据处理、统计建模、机器学习和科学图表</x:v>
      </x:c>
      <x:c r="N12" s="21" t="str">
        <x:v>A</x:v>
      </x:c>
      <x:c r="O12" s="19" t="str">
        <x:v>按 Codex skill 结构接入；固定依赖版本，并为本校数据与算力环境补充预检。</x:v>
      </x:c>
      <x:c r="P12" s="19" t="str">
        <x:v>Python 及相应科学计算包；部分技能需要 GPU、网络、许可证或较大内存</x:v>
      </x:c>
      <x:c r="Q12" s="19" t="str">
        <x:v>必须先核对数据授权、版本、计算资源和方法假设；示例代码不等同于已验证结果。</x:v>
      </x:c>
      <x:c r="R12" s="21" t="str">
        <x:v>二级包内容验证</x:v>
      </x:c>
      <x:c r="S12" s="21" t="str">
        <x:v>中</x:v>
      </x:c>
      <x:c r="T12" s="20" t="n">
        <x:v>32822</x:v>
      </x:c>
      <x:c r="U12" s="20" t="str">
        <x:v>2026-08-03</x:v>
      </x:c>
      <x:c r="V12" s="18" t="str">
        <x:v>MIT</x:v>
      </x:c>
    </x:row>
    <x:row r="13" ht="58" customHeight="1">
      <x:c r="A13" s="20" t="n">
        <x:v>9</x:v>
      </x:c>
      <x:c r="B13" s="20" t="str">
        <x:v>GH-05-0009</x:v>
      </x:c>
      <x:c r="C13" s="19" t="str">
        <x:v>scientific-visualization</x:v>
      </x:c>
      <x:c r="D13" s="19" t="str">
        <x:v>科学图表设计与审计</x:v>
      </x:c>
      <x:c r="E13" s="19" t="str">
        <x:v>从证据与传播目标出发选择诚实编码，落实无障碍、导出和来源追踪检查。</x:v>
      </x:c>
      <x:c r="F13" s="19" t="str">
        <x:v>https://github.com/K-Dense-AI/scientific-agent-skills/blob/main/skills/scientific-visualization/SKILL.md</x:v>
      </x:c>
      <x:c r="G13" s="19" t="str">
        <x:v>K-Dense-AI/scientific-agent-skills</x:v>
      </x:c>
      <x:c r="H13" s="19" t="str">
        <x:v>https://github.com/K-Dense-AI/scientific-agent-skills</x:v>
      </x:c>
      <x:c r="I13" s="19" t="str">
        <x:v>Agent Skills（兼容 Codex、Claude Code、Cursor 等）</x:v>
      </x:c>
      <x:c r="J13" s="19" t="str">
        <x:v>社区 skill、GitHub 开源仓库</x:v>
      </x:c>
      <x:c r="K13" s="19" t="str">
        <x:v>科学可视化、证据编码、无障碍、出版</x:v>
      </x:c>
      <x:c r="L13" s="19" t="str">
        <x:v>学生、教师、科研人员、数据与技术支持人员</x:v>
      </x:c>
      <x:c r="M13" s="19" t="str">
        <x:v>课程作业、科研数据处理、统计建模、机器学习和科学图表</x:v>
      </x:c>
      <x:c r="N13" s="21" t="str">
        <x:v>A</x:v>
      </x:c>
      <x:c r="O13" s="19" t="str">
        <x:v>按 Codex skill 结构接入；固定依赖版本，并为本校数据与算力环境补充预检。</x:v>
      </x:c>
      <x:c r="P13" s="19" t="str">
        <x:v>Python 及相应科学计算包；部分技能需要 GPU、网络、许可证或较大内存</x:v>
      </x:c>
      <x:c r="Q13" s="19" t="str">
        <x:v>必须先核对数据授权、版本、计算资源和方法假设；示例代码不等同于已验证结果。</x:v>
      </x:c>
      <x:c r="R13" s="21" t="str">
        <x:v>二级包内容验证</x:v>
      </x:c>
      <x:c r="S13" s="21" t="str">
        <x:v>高</x:v>
      </x:c>
      <x:c r="T13" s="20" t="n">
        <x:v>32822</x:v>
      </x:c>
      <x:c r="U13" s="20" t="str">
        <x:v>2026-08-03</x:v>
      </x:c>
      <x:c r="V13" s="18" t="str">
        <x:v>MIT</x:v>
      </x:c>
    </x:row>
    <x:row r="14" ht="58" customHeight="1">
      <x:c r="A14" s="20" t="n">
        <x:v>10</x:v>
      </x:c>
      <x:c r="B14" s="20" t="str">
        <x:v>GH-05-0010</x:v>
      </x:c>
      <x:c r="C14" s="19" t="str">
        <x:v>networkx</x:v>
      </x:c>
      <x:c r="D14" s="19" t="str">
        <x:v>NetworkX 网络分析</x:v>
      </x:c>
      <x:c r="E14" s="19" t="str">
        <x:v>创建和分析复杂网络，覆盖路径、中心性、聚类、社区和基础网络可视化。</x:v>
      </x:c>
      <x:c r="F14" s="19" t="str">
        <x:v>https://github.com/K-Dense-AI/scientific-agent-skills/blob/main/skills/networkx/SKILL.md</x:v>
      </x:c>
      <x:c r="G14" s="19" t="str">
        <x:v>K-Dense-AI/scientific-agent-skills</x:v>
      </x:c>
      <x:c r="H14" s="19" t="str">
        <x:v>https://github.com/K-Dense-AI/scientific-agent-skills</x:v>
      </x:c>
      <x:c r="I14" s="19" t="str">
        <x:v>Agent Skills（兼容 Codex、Claude Code、Cursor 等）</x:v>
      </x:c>
      <x:c r="J14" s="19" t="str">
        <x:v>社区 skill、GitHub 开源仓库</x:v>
      </x:c>
      <x:c r="K14" s="19" t="str">
        <x:v>图网络、中心性、路径、社区、可视化</x:v>
      </x:c>
      <x:c r="L14" s="19" t="str">
        <x:v>学生、教师、科研人员、数据与技术支持人员</x:v>
      </x:c>
      <x:c r="M14" s="19" t="str">
        <x:v>课程作业、科研数据处理、统计建模、机器学习和科学图表</x:v>
      </x:c>
      <x:c r="N14" s="21" t="str">
        <x:v>A</x:v>
      </x:c>
      <x:c r="O14" s="19" t="str">
        <x:v>按 Codex skill 结构接入；固定依赖版本，并为本校数据与算力环境补充预检。</x:v>
      </x:c>
      <x:c r="P14" s="19" t="str">
        <x:v>Python 及相应科学计算包；部分技能需要 GPU、网络、许可证或较大内存</x:v>
      </x:c>
      <x:c r="Q14" s="19" t="str">
        <x:v>必须先核对数据授权、版本、计算资源和方法假设；示例代码不等同于已验证结果。</x:v>
      </x:c>
      <x:c r="R14" s="21" t="str">
        <x:v>二级包内容验证</x:v>
      </x:c>
      <x:c r="S14" s="21" t="str">
        <x:v>中</x:v>
      </x:c>
      <x:c r="T14" s="20" t="n">
        <x:v>32822</x:v>
      </x:c>
      <x:c r="U14" s="20" t="str">
        <x:v>2026-08-03</x:v>
      </x:c>
      <x:c r="V14" s="18" t="str">
        <x:v>MIT</x:v>
      </x:c>
    </x:row>
    <x:row r="15" ht="58" customHeight="1">
      <x:c r="A15" s="20" t="n">
        <x:v>11</x:v>
      </x:c>
      <x:c r="B15" s="20" t="str">
        <x:v>GH-05-0011</x:v>
      </x:c>
      <x:c r="C15" s="19" t="str">
        <x:v>geopandas</x:v>
      </x:c>
      <x:c r="D15" s="19" t="str">
        <x:v>GeoPandas 空间数据分析</x:v>
      </x:c>
      <x:c r="E15" s="19" t="str">
        <x:v>处理矢量空间数据、坐标系、几何有效性、空间连接与地图输出。</x:v>
      </x:c>
      <x:c r="F15" s="19" t="str">
        <x:v>https://github.com/K-Dense-AI/scientific-agent-skills/blob/main/skills/geopandas/SKILL.md</x:v>
      </x:c>
      <x:c r="G15" s="19" t="str">
        <x:v>K-Dense-AI/scientific-agent-skills</x:v>
      </x:c>
      <x:c r="H15" s="19" t="str">
        <x:v>https://github.com/K-Dense-AI/scientific-agent-skills</x:v>
      </x:c>
      <x:c r="I15" s="19" t="str">
        <x:v>Agent Skills（兼容 Codex、Claude Code、Cursor 等）</x:v>
      </x:c>
      <x:c r="J15" s="19" t="str">
        <x:v>社区 skill、GitHub 开源仓库</x:v>
      </x:c>
      <x:c r="K15" s="19" t="str">
        <x:v>GeoPandas、GIS、CRS、空间连接、地图</x:v>
      </x:c>
      <x:c r="L15" s="19" t="str">
        <x:v>学生、教师、科研人员、数据与技术支持人员</x:v>
      </x:c>
      <x:c r="M15" s="19" t="str">
        <x:v>课程作业、科研数据处理、统计建模、机器学习和科学图表</x:v>
      </x:c>
      <x:c r="N15" s="21" t="str">
        <x:v>A</x:v>
      </x:c>
      <x:c r="O15" s="19" t="str">
        <x:v>按 Codex skill 结构接入；固定依赖版本，并为本校数据与算力环境补充预检。</x:v>
      </x:c>
      <x:c r="P15" s="19" t="str">
        <x:v>Python 及相应科学计算包；部分技能需要 GPU、网络、许可证或较大内存</x:v>
      </x:c>
      <x:c r="Q15" s="19" t="str">
        <x:v>必须先核对数据授权、版本、计算资源和方法假设；示例代码不等同于已验证结果。</x:v>
      </x:c>
      <x:c r="R15" s="21" t="str">
        <x:v>二级包内容验证</x:v>
      </x:c>
      <x:c r="S15" s="21" t="str">
        <x:v>中</x:v>
      </x:c>
      <x:c r="T15" s="20" t="n">
        <x:v>32822</x:v>
      </x:c>
      <x:c r="U15" s="20" t="str">
        <x:v>2026-08-03</x:v>
      </x:c>
      <x:c r="V15" s="18" t="str">
        <x:v>MIT</x:v>
      </x:c>
    </x:row>
    <x:row r="16" ht="58" customHeight="1">
      <x:c r="A16" s="20" t="n">
        <x:v>12</x:v>
      </x:c>
      <x:c r="B16" s="20" t="str">
        <x:v>GH-05-0012</x:v>
      </x:c>
      <x:c r="C16" s="19" t="str">
        <x:v>scikit-learn</x:v>
      </x:c>
      <x:c r="D16" s="19" t="str">
        <x:v>Scikit-learn 机器学习</x:v>
      </x:c>
      <x:c r="E16" s="19" t="str">
        <x:v>构建预处理、训练、验证、模型选择和解释相衔接的传统机器学习流程。</x:v>
      </x:c>
      <x:c r="F16" s="19" t="str">
        <x:v>https://github.com/K-Dense-AI/scientific-agent-skills/blob/main/skills/scikit-learn/SKILL.md</x:v>
      </x:c>
      <x:c r="G16" s="19" t="str">
        <x:v>K-Dense-AI/scientific-agent-skills</x:v>
      </x:c>
      <x:c r="H16" s="19" t="str">
        <x:v>https://github.com/K-Dense-AI/scientific-agent-skills</x:v>
      </x:c>
      <x:c r="I16" s="19" t="str">
        <x:v>Agent Skills（兼容 Codex、Claude Code、Cursor 等）</x:v>
      </x:c>
      <x:c r="J16" s="19" t="str">
        <x:v>社区 skill、GitHub 开源仓库</x:v>
      </x:c>
      <x:c r="K16" s="19" t="str">
        <x:v>机器学习、预处理、模型选择、评估、管道</x:v>
      </x:c>
      <x:c r="L16" s="19" t="str">
        <x:v>学生、教师、科研人员、数据与技术支持人员</x:v>
      </x:c>
      <x:c r="M16" s="19" t="str">
        <x:v>课程作业、科研数据处理、统计建模、机器学习和科学图表</x:v>
      </x:c>
      <x:c r="N16" s="21" t="str">
        <x:v>A</x:v>
      </x:c>
      <x:c r="O16" s="19" t="str">
        <x:v>按 Codex skill 结构接入；固定依赖版本，并为本校数据与算力环境补充预检。</x:v>
      </x:c>
      <x:c r="P16" s="19" t="str">
        <x:v>Python 及相应科学计算包；部分技能需要 GPU、网络、许可证或较大内存</x:v>
      </x:c>
      <x:c r="Q16" s="19" t="str">
        <x:v>必须先核对数据授权、版本、计算资源和方法假设；示例代码不等同于已验证结果。</x:v>
      </x:c>
      <x:c r="R16" s="21" t="str">
        <x:v>二级包内容验证</x:v>
      </x:c>
      <x:c r="S16" s="21" t="str">
        <x:v>中</x:v>
      </x:c>
      <x:c r="T16" s="20" t="n">
        <x:v>32822</x:v>
      </x:c>
      <x:c r="U16" s="20" t="str">
        <x:v>2026-08-03</x:v>
      </x:c>
      <x:c r="V16" s="18" t="str">
        <x:v>MIT</x:v>
      </x:c>
    </x:row>
    <x:row r="17" ht="58" customHeight="1">
      <x:c r="A17" s="20" t="n">
        <x:v>13</x:v>
      </x:c>
      <x:c r="B17" s="20" t="str">
        <x:v>GH-05-0013</x:v>
      </x:c>
      <x:c r="C17" s="19" t="str">
        <x:v>statistical-analysis</x:v>
      </x:c>
      <x:c r="D17" s="19" t="str">
        <x:v>统计分析选择与报告</x:v>
      </x:c>
      <x:c r="E17" s="19" t="str">
        <x:v>依据研究设计、变量类型和假设条件选择统计方法，并完成诊断、效应量和结果报告。</x:v>
      </x:c>
      <x:c r="F17" s="19" t="str">
        <x:v>https://github.com/K-Dense-AI/scientific-agent-skills/blob/main/skills/statistical-analysis/SKILL.md</x:v>
      </x:c>
      <x:c r="G17" s="19" t="str">
        <x:v>K-Dense-AI/scientific-agent-skills</x:v>
      </x:c>
      <x:c r="H17" s="19" t="str">
        <x:v>https://github.com/K-Dense-AI/scientific-agent-skills</x:v>
      </x:c>
      <x:c r="I17" s="19" t="str">
        <x:v>Agent Skills（兼容 Codex、Claude Code、Cursor 等）</x:v>
      </x:c>
      <x:c r="J17" s="19" t="str">
        <x:v>社区 skill、GitHub 开源仓库</x:v>
      </x:c>
      <x:c r="K17" s="19" t="str">
        <x:v>统计检验、假设、效应量、报告、诊断</x:v>
      </x:c>
      <x:c r="L17" s="19" t="str">
        <x:v>学生、教师、科研人员、数据与技术支持人员</x:v>
      </x:c>
      <x:c r="M17" s="19" t="str">
        <x:v>课程作业、科研数据处理、统计建模、机器学习和科学图表</x:v>
      </x:c>
      <x:c r="N17" s="21" t="str">
        <x:v>A</x:v>
      </x:c>
      <x:c r="O17" s="19" t="str">
        <x:v>按 Codex skill 结构接入；固定依赖版本，并为本校数据与算力环境补充预检。</x:v>
      </x:c>
      <x:c r="P17" s="19" t="str">
        <x:v>Python 及相应科学计算包；部分技能需要 GPU、网络、许可证或较大内存</x:v>
      </x:c>
      <x:c r="Q17" s="19" t="str">
        <x:v>必须先核对数据授权、版本、计算资源和方法假设；示例代码不等同于已验证结果。</x:v>
      </x:c>
      <x:c r="R17" s="21" t="str">
        <x:v>二级包内容验证</x:v>
      </x:c>
      <x:c r="S17" s="21" t="str">
        <x:v>高</x:v>
      </x:c>
      <x:c r="T17" s="20" t="n">
        <x:v>32822</x:v>
      </x:c>
      <x:c r="U17" s="20" t="str">
        <x:v>2026-08-03</x:v>
      </x:c>
      <x:c r="V17" s="18" t="str">
        <x:v>MIT</x:v>
      </x:c>
    </x:row>
    <x:row r="18" ht="58" customHeight="1">
      <x:c r="A18" s="20" t="n">
        <x:v>14</x:v>
      </x:c>
      <x:c r="B18" s="20" t="str">
        <x:v>GH-05-0014</x:v>
      </x:c>
      <x:c r="C18" s="19" t="str">
        <x:v>statistical-power</x:v>
      </x:c>
      <x:c r="D18" s="19" t="str">
        <x:v>统计功效与样本量规划</x:v>
      </x:c>
      <x:c r="E18" s="19" t="str">
        <x:v>围绕目标效应、显著性水平和功效进行样本量估计及复杂模型的模拟功效分析。</x:v>
      </x:c>
      <x:c r="F18" s="19" t="str">
        <x:v>https://github.com/K-Dense-AI/scientific-agent-skills/blob/main/skills/statistical-power/SKILL.md</x:v>
      </x:c>
      <x:c r="G18" s="19" t="str">
        <x:v>K-Dense-AI/scientific-agent-skills</x:v>
      </x:c>
      <x:c r="H18" s="19" t="str">
        <x:v>https://github.com/K-Dense-AI/scientific-agent-skills</x:v>
      </x:c>
      <x:c r="I18" s="19" t="str">
        <x:v>Agent Skills（兼容 Codex、Claude Code、Cursor 等）</x:v>
      </x:c>
      <x:c r="J18" s="19" t="str">
        <x:v>社区 skill、GitHub 开源仓库</x:v>
      </x:c>
      <x:c r="K18" s="19" t="str">
        <x:v>统计功效、样本量、效应量、模拟</x:v>
      </x:c>
      <x:c r="L18" s="19" t="str">
        <x:v>学生、教师、科研人员、数据与技术支持人员</x:v>
      </x:c>
      <x:c r="M18" s="19" t="str">
        <x:v>课程作业、科研数据处理、统计建模、机器学习和科学图表</x:v>
      </x:c>
      <x:c r="N18" s="21" t="str">
        <x:v>A</x:v>
      </x:c>
      <x:c r="O18" s="19" t="str">
        <x:v>按 Codex skill 结构接入；固定依赖版本，并为本校数据与算力环境补充预检。</x:v>
      </x:c>
      <x:c r="P18" s="19" t="str">
        <x:v>Python 及相应科学计算包；部分技能需要 GPU、网络、许可证或较大内存</x:v>
      </x:c>
      <x:c r="Q18" s="19" t="str">
        <x:v>必须先核对数据授权、版本、计算资源和方法假设；示例代码不等同于已验证结果。</x:v>
      </x:c>
      <x:c r="R18" s="21" t="str">
        <x:v>二级包内容验证</x:v>
      </x:c>
      <x:c r="S18" s="21" t="str">
        <x:v>高</x:v>
      </x:c>
      <x:c r="T18" s="20" t="n">
        <x:v>32822</x:v>
      </x:c>
      <x:c r="U18" s="20" t="str">
        <x:v>2026-08-03</x:v>
      </x:c>
      <x:c r="V18" s="18" t="str">
        <x:v>MIT</x:v>
      </x:c>
    </x:row>
    <x:row r="19" ht="58" customHeight="1">
      <x:c r="A19" s="20" t="n">
        <x:v>15</x:v>
      </x:c>
      <x:c r="B19" s="20" t="str">
        <x:v>GH-05-0015</x:v>
      </x:c>
      <x:c r="C19" s="19" t="str">
        <x:v>statsmodels</x:v>
      </x:c>
      <x:c r="D19" s="19" t="str">
        <x:v>Statsmodels 统计建模</x:v>
      </x:c>
      <x:c r="E19" s="19" t="str">
        <x:v>使用 Statsmodels 完成回归、广义模型、时间序列与严格推断，并保留诊断输出。</x:v>
      </x:c>
      <x:c r="F19" s="19" t="str">
        <x:v>https://github.com/K-Dense-AI/scientific-agent-skills/blob/main/skills/statsmodels/SKILL.md</x:v>
      </x:c>
      <x:c r="G19" s="19" t="str">
        <x:v>K-Dense-AI/scientific-agent-skills</x:v>
      </x:c>
      <x:c r="H19" s="19" t="str">
        <x:v>https://github.com/K-Dense-AI/scientific-agent-skills</x:v>
      </x:c>
      <x:c r="I19" s="19" t="str">
        <x:v>Agent Skills（兼容 Codex、Claude Code、Cursor 等）</x:v>
      </x:c>
      <x:c r="J19" s="19" t="str">
        <x:v>社区 skill、GitHub 开源仓库</x:v>
      </x:c>
      <x:c r="K19" s="19" t="str">
        <x:v>回归、GLM、混合模型、时间序列、诊断</x:v>
      </x:c>
      <x:c r="L19" s="19" t="str">
        <x:v>学生、教师、科研人员、数据与技术支持人员</x:v>
      </x:c>
      <x:c r="M19" s="19" t="str">
        <x:v>课程作业、科研数据处理、统计建模、机器学习和科学图表</x:v>
      </x:c>
      <x:c r="N19" s="21" t="str">
        <x:v>A</x:v>
      </x:c>
      <x:c r="O19" s="19" t="str">
        <x:v>按 Codex skill 结构接入；固定依赖版本，并为本校数据与算力环境补充预检。</x:v>
      </x:c>
      <x:c r="P19" s="19" t="str">
        <x:v>Python 及相应科学计算包；部分技能需要 GPU、网络、许可证或较大内存</x:v>
      </x:c>
      <x:c r="Q19" s="19" t="str">
        <x:v>必须先核对数据授权、版本、计算资源和方法假设；示例代码不等同于已验证结果。</x:v>
      </x:c>
      <x:c r="R19" s="21" t="str">
        <x:v>二级包内容验证</x:v>
      </x:c>
      <x:c r="S19" s="21" t="str">
        <x:v>高</x:v>
      </x:c>
      <x:c r="T19" s="20" t="n">
        <x:v>32822</x:v>
      </x:c>
      <x:c r="U19" s="20" t="str">
        <x:v>2026-08-03</x:v>
      </x:c>
      <x:c r="V19" s="18" t="str">
        <x:v>MIT</x:v>
      </x:c>
    </x:row>
    <x:row r="20" ht="58" customHeight="1">
      <x:c r="A20" s="20" t="n">
        <x:v>16</x:v>
      </x:c>
      <x:c r="B20" s="20" t="str">
        <x:v>GH-05-0016</x:v>
      </x:c>
      <x:c r="C20" s="19" t="str">
        <x:v>pymc</x:v>
      </x:c>
      <x:c r="D20" s="19" t="str">
        <x:v>PyMC 贝叶斯建模</x:v>
      </x:c>
      <x:c r="E20" s="19" t="str">
        <x:v>按标准贝叶斯工作流选择先验与似然、采样、诊断和解释后验不确定性。</x:v>
      </x:c>
      <x:c r="F20" s="19" t="str">
        <x:v>https://github.com/K-Dense-AI/scientific-agent-skills/blob/main/skills/pymc/SKILL.md</x:v>
      </x:c>
      <x:c r="G20" s="19" t="str">
        <x:v>K-Dense-AI/scientific-agent-skills</x:v>
      </x:c>
      <x:c r="H20" s="19" t="str">
        <x:v>https://github.com/K-Dense-AI/scientific-agent-skills</x:v>
      </x:c>
      <x:c r="I20" s="19" t="str">
        <x:v>Agent Skills（兼容 Codex、Claude Code、Cursor 等）</x:v>
      </x:c>
      <x:c r="J20" s="19" t="str">
        <x:v>社区 skill、GitHub 开源仓库</x:v>
      </x:c>
      <x:c r="K20" s="19" t="str">
        <x:v>贝叶斯、MCMC、先验、后验、诊断</x:v>
      </x:c>
      <x:c r="L20" s="19" t="str">
        <x:v>学生、教师、科研人员、数据与技术支持人员</x:v>
      </x:c>
      <x:c r="M20" s="19" t="str">
        <x:v>课程作业、科研数据处理、统计建模、机器学习和科学图表</x:v>
      </x:c>
      <x:c r="N20" s="21" t="str">
        <x:v>A</x:v>
      </x:c>
      <x:c r="O20" s="19" t="str">
        <x:v>按 Codex skill 结构接入；固定依赖版本，并为本校数据与算力环境补充预检。</x:v>
      </x:c>
      <x:c r="P20" s="19" t="str">
        <x:v>Python 及相应科学计算包；部分技能需要 GPU、网络、许可证或较大内存</x:v>
      </x:c>
      <x:c r="Q20" s="19" t="str">
        <x:v>必须先核对数据授权、版本、计算资源和方法假设；示例代码不等同于已验证结果。</x:v>
      </x:c>
      <x:c r="R20" s="21" t="str">
        <x:v>二级包内容验证</x:v>
      </x:c>
      <x:c r="S20" s="21" t="str">
        <x:v>中</x:v>
      </x:c>
      <x:c r="T20" s="20" t="n">
        <x:v>32822</x:v>
      </x:c>
      <x:c r="U20" s="20" t="str">
        <x:v>2026-08-03</x:v>
      </x:c>
      <x:c r="V20" s="18" t="str">
        <x:v>MIT</x:v>
      </x:c>
    </x:row>
    <x:row r="21" ht="58" customHeight="1">
      <x:c r="A21" s="20" t="n">
        <x:v>17</x:v>
      </x:c>
      <x:c r="B21" s="20" t="str">
        <x:v>GH-05-0017</x:v>
      </x:c>
      <x:c r="C21" s="19" t="str">
        <x:v>sympy</x:v>
      </x:c>
      <x:c r="D21" s="19" t="str">
        <x:v>SymPy 符号数学</x:v>
      </x:c>
      <x:c r="E21" s="19" t="str">
        <x:v>用精确符号对象完成代数化简、求解、微积分、矩阵和数值代码转换。</x:v>
      </x:c>
      <x:c r="F21" s="19" t="str">
        <x:v>https://github.com/K-Dense-AI/scientific-agent-skills/blob/main/skills/sympy/SKILL.md</x:v>
      </x:c>
      <x:c r="G21" s="19" t="str">
        <x:v>K-Dense-AI/scientific-agent-skills</x:v>
      </x:c>
      <x:c r="H21" s="19" t="str">
        <x:v>https://github.com/K-Dense-AI/scientific-agent-skills</x:v>
      </x:c>
      <x:c r="I21" s="19" t="str">
        <x:v>Agent Skills（兼容 Codex、Claude Code、Cursor 等）</x:v>
      </x:c>
      <x:c r="J21" s="19" t="str">
        <x:v>社区 skill、GitHub 开源仓库</x:v>
      </x:c>
      <x:c r="K21" s="19" t="str">
        <x:v>符号计算、代数、微积分、方程、代码生成</x:v>
      </x:c>
      <x:c r="L21" s="19" t="str">
        <x:v>学生、教师、科研人员、数据与技术支持人员</x:v>
      </x:c>
      <x:c r="M21" s="19" t="str">
        <x:v>课程作业、科研数据处理、统计建模、机器学习和科学图表</x:v>
      </x:c>
      <x:c r="N21" s="21" t="str">
        <x:v>A</x:v>
      </x:c>
      <x:c r="O21" s="19" t="str">
        <x:v>按 Codex skill 结构接入；固定依赖版本，并为本校数据与算力环境补充预检。</x:v>
      </x:c>
      <x:c r="P21" s="19" t="str">
        <x:v>Python 及相应科学计算包；部分技能需要 GPU、网络、许可证或较大内存</x:v>
      </x:c>
      <x:c r="Q21" s="19" t="str">
        <x:v>必须先核对数据授权、版本、计算资源和方法假设；示例代码不等同于已验证结果。</x:v>
      </x:c>
      <x:c r="R21" s="21" t="str">
        <x:v>二级包内容验证</x:v>
      </x:c>
      <x:c r="S21" s="21" t="str">
        <x:v>高</x:v>
      </x:c>
      <x:c r="T21" s="20" t="n">
        <x:v>32822</x:v>
      </x:c>
      <x:c r="U21" s="20" t="str">
        <x:v>2026-08-03</x:v>
      </x:c>
      <x:c r="V21" s="18" t="str">
        <x:v>MIT</x:v>
      </x:c>
    </x:row>
    <x:row r="22" ht="58" customHeight="1">
      <x:c r="A22" s="20" t="n">
        <x:v>18</x:v>
      </x:c>
      <x:c r="B22" s="20" t="str">
        <x:v>GH-05-0018</x:v>
      </x:c>
      <x:c r="C22" s="19" t="str">
        <x:v>uncertainty-and-units</x:v>
      </x:c>
      <x:c r="D22" s="19" t="str">
        <x:v>测量不确定度与单位计算</x:v>
      </x:c>
      <x:c r="E22" s="19" t="str">
        <x:v>在计算中保留单位和不确定度，防止尺度、偏移温度及对数单位等常见错误。</x:v>
      </x:c>
      <x:c r="F22" s="19" t="str">
        <x:v>https://github.com/K-Dense-AI/scientific-agent-skills/blob/main/skills/uncertainty-and-units/SKILL.md</x:v>
      </x:c>
      <x:c r="G22" s="19" t="str">
        <x:v>K-Dense-AI/scientific-agent-skills</x:v>
      </x:c>
      <x:c r="H22" s="19" t="str">
        <x:v>https://github.com/K-Dense-AI/scientific-agent-skills</x:v>
      </x:c>
      <x:c r="I22" s="19" t="str">
        <x:v>Agent Skills（兼容 Codex、Claude Code、Cursor 等）</x:v>
      </x:c>
      <x:c r="J22" s="19" t="str">
        <x:v>社区 skill、GitHub 开源仓库</x:v>
      </x:c>
      <x:c r="K22" s="19" t="str">
        <x:v>单位、误差传播、测量、不确定度、量纲</x:v>
      </x:c>
      <x:c r="L22" s="19" t="str">
        <x:v>学生、教师、科研人员、数据与技术支持人员</x:v>
      </x:c>
      <x:c r="M22" s="19" t="str">
        <x:v>课程作业、科研数据处理、统计建模、机器学习和科学图表</x:v>
      </x:c>
      <x:c r="N22" s="21" t="str">
        <x:v>A</x:v>
      </x:c>
      <x:c r="O22" s="19" t="str">
        <x:v>按 Codex skill 结构接入；固定依赖版本，并为本校数据与算力环境补充预检。</x:v>
      </x:c>
      <x:c r="P22" s="19" t="str">
        <x:v>Python 及相应科学计算包；部分技能需要 GPU、网络、许可证或较大内存</x:v>
      </x:c>
      <x:c r="Q22" s="19" t="str">
        <x:v>必须先核对数据授权、版本、计算资源和方法假设；示例代码不等同于已验证结果。</x:v>
      </x:c>
      <x:c r="R22" s="21" t="str">
        <x:v>二级包内容验证</x:v>
      </x:c>
      <x:c r="S22" s="21" t="str">
        <x:v>高</x:v>
      </x:c>
      <x:c r="T22" s="20" t="n">
        <x:v>32822</x:v>
      </x:c>
      <x:c r="U22" s="20" t="str">
        <x:v>2026-08-03</x:v>
      </x:c>
      <x:c r="V22" s="18" t="str">
        <x:v>MIT</x:v>
      </x:c>
    </x:row>
    <x:row r="23" ht="58" customHeight="1">
      <x:c r="A23" s="20" t="n">
        <x:v>19</x:v>
      </x:c>
      <x:c r="B23" s="20" t="str">
        <x:v>GH-05-0019</x:v>
      </x:c>
      <x:c r="C23" s="19" t="str">
        <x:v>shap</x:v>
      </x:c>
      <x:c r="D23" s="19" t="str">
        <x:v>SHAP 模型解释</x:v>
      </x:c>
      <x:c r="E23" s="19" t="str">
        <x:v>选择合适解释器与背景分布，计算并审计局部和全局特征贡献。</x:v>
      </x:c>
      <x:c r="F23" s="19" t="str">
        <x:v>https://github.com/K-Dense-AI/scientific-agent-skills/blob/main/skills/shap/SKILL.md</x:v>
      </x:c>
      <x:c r="G23" s="19" t="str">
        <x:v>K-Dense-AI/scientific-agent-skills</x:v>
      </x:c>
      <x:c r="H23" s="19" t="str">
        <x:v>https://github.com/K-Dense-AI/scientific-agent-skills</x:v>
      </x:c>
      <x:c r="I23" s="19" t="str">
        <x:v>Agent Skills（兼容 Codex、Claude Code、Cursor 等）</x:v>
      </x:c>
      <x:c r="J23" s="19" t="str">
        <x:v>社区 skill、GitHub 开源仓库</x:v>
      </x:c>
      <x:c r="K23" s="19" t="str">
        <x:v>SHAP、可解释机器学习、特征贡献、公平性</x:v>
      </x:c>
      <x:c r="L23" s="19" t="str">
        <x:v>学生、教师、科研人员、数据与技术支持人员</x:v>
      </x:c>
      <x:c r="M23" s="19" t="str">
        <x:v>课程作业、科研数据处理、统计建模、机器学习和科学图表</x:v>
      </x:c>
      <x:c r="N23" s="21" t="str">
        <x:v>A</x:v>
      </x:c>
      <x:c r="O23" s="19" t="str">
        <x:v>按 Codex skill 结构接入；固定依赖版本，并为本校数据与算力环境补充预检。</x:v>
      </x:c>
      <x:c r="P23" s="19" t="str">
        <x:v>Python 及相应科学计算包；部分技能需要 GPU、网络、许可证或较大内存</x:v>
      </x:c>
      <x:c r="Q23" s="19" t="str">
        <x:v>必须先核对数据授权、版本、计算资源和方法假设；示例代码不等同于已验证结果。</x:v>
      </x:c>
      <x:c r="R23" s="21" t="str">
        <x:v>二级包内容验证</x:v>
      </x:c>
      <x:c r="S23" s="21" t="str">
        <x:v>中</x:v>
      </x:c>
      <x:c r="T23" s="20" t="n">
        <x:v>32822</x:v>
      </x:c>
      <x:c r="U23" s="20" t="str">
        <x:v>2026-08-03</x:v>
      </x:c>
      <x:c r="V23" s="18" t="str">
        <x:v>MIT</x:v>
      </x:c>
    </x:row>
    <x:row r="24" ht="58" customHeight="1">
      <x:c r="A24" s="20" t="n">
        <x:v>20</x:v>
      </x:c>
      <x:c r="B24" s="20" t="str">
        <x:v>GH-05-0020</x:v>
      </x:c>
      <x:c r="C24" s="19" t="str">
        <x:v>umap-learn</x:v>
      </x:c>
      <x:c r="D24" s="19" t="str">
        <x:v>UMAP 降维与嵌入</x:v>
      </x:c>
      <x:c r="E24" s="19" t="str">
        <x:v>对标准化数据构建 UMAP 嵌入，调节邻域与距离参数并避免过度解释二维图。</x:v>
      </x:c>
      <x:c r="F24" s="19" t="str">
        <x:v>https://github.com/K-Dense-AI/scientific-agent-skills/blob/main/skills/umap-learn/SKILL.md</x:v>
      </x:c>
      <x:c r="G24" s="19" t="str">
        <x:v>K-Dense-AI/scientific-agent-skills</x:v>
      </x:c>
      <x:c r="H24" s="19" t="str">
        <x:v>https://github.com/K-Dense-AI/scientific-agent-skills</x:v>
      </x:c>
      <x:c r="I24" s="19" t="str">
        <x:v>Agent Skills（兼容 Codex、Claude Code、Cursor 等）</x:v>
      </x:c>
      <x:c r="J24" s="19" t="str">
        <x:v>社区 skill、GitHub 开源仓库</x:v>
      </x:c>
      <x:c r="K24" s="19" t="str">
        <x:v>UMAP、降维、聚类可视化、参数调优</x:v>
      </x:c>
      <x:c r="L24" s="19" t="str">
        <x:v>学生、教师、科研人员、数据与技术支持人员</x:v>
      </x:c>
      <x:c r="M24" s="19" t="str">
        <x:v>课程作业、科研数据处理、统计建模、机器学习和科学图表</x:v>
      </x:c>
      <x:c r="N24" s="21" t="str">
        <x:v>A</x:v>
      </x:c>
      <x:c r="O24" s="19" t="str">
        <x:v>按 Codex skill 结构接入；固定依赖版本，并为本校数据与算力环境补充预检。</x:v>
      </x:c>
      <x:c r="P24" s="19" t="str">
        <x:v>Python 及相应科学计算包；部分技能需要 GPU、网络、许可证或较大内存</x:v>
      </x:c>
      <x:c r="Q24" s="19" t="str">
        <x:v>必须先核对数据授权、版本、计算资源和方法假设；示例代码不等同于已验证结果。</x:v>
      </x:c>
      <x:c r="R24" s="21" t="str">
        <x:v>二级包内容验证</x:v>
      </x:c>
      <x:c r="S24" s="21" t="str">
        <x:v>中</x:v>
      </x:c>
      <x:c r="T24" s="20" t="n">
        <x:v>32822</x:v>
      </x:c>
      <x:c r="U24" s="20" t="str">
        <x:v>2026-08-03</x:v>
      </x:c>
      <x:c r="V24" s="18" t="str">
        <x:v>MIT</x:v>
      </x:c>
    </x:row>
    <x:row r="25" ht="58" customHeight="1">
      <x:c r="A25" s="20" t="n">
        <x:v>21</x:v>
      </x:c>
      <x:c r="B25" s="20" t="str">
        <x:v>GH-05-0021</x:v>
      </x:c>
      <x:c r="C25" s="19" t="str">
        <x:v>timesfm-forecasting</x:v>
      </x:c>
      <x:c r="D25" s="19" t="str">
        <x:v>TimesFM 时间序列预测</x:v>
      </x:c>
      <x:c r="E25" s="19" t="str">
        <x:v>在硬件和版本预检后使用 TimesFM 进行零样本或微调时间序列预测与评估。</x:v>
      </x:c>
      <x:c r="F25" s="19" t="str">
        <x:v>https://github.com/K-Dense-AI/scientific-agent-skills/blob/main/skills/timesfm-forecasting/SKILL.md</x:v>
      </x:c>
      <x:c r="G25" s="19" t="str">
        <x:v>K-Dense-AI/scientific-agent-skills</x:v>
      </x:c>
      <x:c r="H25" s="19" t="str">
        <x:v>https://github.com/K-Dense-AI/scientific-agent-skills</x:v>
      </x:c>
      <x:c r="I25" s="19" t="str">
        <x:v>Agent Skills（兼容 Codex、Claude Code、Cursor 等）</x:v>
      </x:c>
      <x:c r="J25" s="19" t="str">
        <x:v>社区 skill、GitHub 开源仓库</x:v>
      </x:c>
      <x:c r="K25" s="19" t="str">
        <x:v>时间序列、基础模型、预测、硬件预检</x:v>
      </x:c>
      <x:c r="L25" s="19" t="str">
        <x:v>学生、教师、科研人员、数据与技术支持人员</x:v>
      </x:c>
      <x:c r="M25" s="19" t="str">
        <x:v>课程作业、科研数据处理、统计建模、机器学习和科学图表</x:v>
      </x:c>
      <x:c r="N25" s="21" t="str">
        <x:v>A</x:v>
      </x:c>
      <x:c r="O25" s="19" t="str">
        <x:v>按 Codex skill 结构接入；固定依赖版本，并为本校数据与算力环境补充预检。</x:v>
      </x:c>
      <x:c r="P25" s="19" t="str">
        <x:v>Python 及相应科学计算包；部分技能需要 GPU、网络、许可证或较大内存</x:v>
      </x:c>
      <x:c r="Q25" s="19" t="str">
        <x:v>必须先核对数据授权、版本、计算资源和方法假设；示例代码不等同于已验证结果。</x:v>
      </x:c>
      <x:c r="R25" s="21" t="str">
        <x:v>二级包内容验证</x:v>
      </x:c>
      <x:c r="S25" s="21" t="str">
        <x:v>中</x:v>
      </x:c>
      <x:c r="T25" s="20" t="n">
        <x:v>32822</x:v>
      </x:c>
      <x:c r="U25" s="20" t="str">
        <x:v>2026-08-03</x:v>
      </x:c>
      <x:c r="V25" s="18" t="str">
        <x:v>MIT</x:v>
      </x:c>
    </x:row>
    <x:row r="26" ht="58" customHeight="1">
      <x:c r="A26" s="20" t="n">
        <x:v>22</x:v>
      </x:c>
      <x:c r="B26" s="20" t="str">
        <x:v>GH-05-0022</x:v>
      </x:c>
      <x:c r="C26" s="19" t="str">
        <x:v>matlab</x:v>
      </x:c>
      <x:c r="D26" s="19" t="str">
        <x:v>MATLAB 与 GNU Octave 计算</x:v>
      </x:c>
      <x:c r="E26" s="19" t="str">
        <x:v>在许可证与安全边界内编写 MATLAB/Octave 脚本、函数、数值分析和可视化。</x:v>
      </x:c>
      <x:c r="F26" s="19" t="str">
        <x:v>https://github.com/K-Dense-AI/scientific-agent-skills/blob/main/skills/matlab/SKILL.md</x:v>
      </x:c>
      <x:c r="G26" s="19" t="str">
        <x:v>K-Dense-AI/scientific-agent-skills</x:v>
      </x:c>
      <x:c r="H26" s="19" t="str">
        <x:v>https://github.com/K-Dense-AI/scientific-agent-skills</x:v>
      </x:c>
      <x:c r="I26" s="19" t="str">
        <x:v>Agent Skills（兼容 Codex、Claude Code、Cursor 等）</x:v>
      </x:c>
      <x:c r="J26" s="19" t="str">
        <x:v>社区 skill、GitHub 开源仓库</x:v>
      </x:c>
      <x:c r="K26" s="19" t="str">
        <x:v>MATLAB、Octave、数值计算、表格、绘图</x:v>
      </x:c>
      <x:c r="L26" s="19" t="str">
        <x:v>学生、教师、科研人员、数据与技术支持人员</x:v>
      </x:c>
      <x:c r="M26" s="19" t="str">
        <x:v>课程作业、科研数据处理、统计建模、机器学习和科学图表</x:v>
      </x:c>
      <x:c r="N26" s="21" t="str">
        <x:v>A</x:v>
      </x:c>
      <x:c r="O26" s="19" t="str">
        <x:v>按 Codex skill 结构接入；固定依赖版本，并为本校数据与算力环境补充预检。</x:v>
      </x:c>
      <x:c r="P26" s="19" t="str">
        <x:v>Python 及相应科学计算包；部分技能需要 GPU、网络、许可证或较大内存</x:v>
      </x:c>
      <x:c r="Q26" s="19" t="str">
        <x:v>必须先核对数据授权、版本、计算资源和方法假设；示例代码不等同于已验证结果。</x:v>
      </x:c>
      <x:c r="R26" s="21" t="str">
        <x:v>二级包内容验证</x:v>
      </x:c>
      <x:c r="S26" s="21" t="str">
        <x:v>中</x:v>
      </x:c>
      <x:c r="T26" s="20" t="n">
        <x:v>32822</x:v>
      </x:c>
      <x:c r="U26" s="20" t="str">
        <x:v>2026-08-03</x:v>
      </x:c>
      <x:c r="V26" s="18" t="str">
        <x:v>MIT</x:v>
      </x:c>
    </x:row>
    <x:row r="27" ht="58" customHeight="1">
      <x:c r="A27" s="20" t="n">
        <x:v>23</x:v>
      </x:c>
      <x:c r="B27" s="20" t="str">
        <x:v>GH-05-0023</x:v>
      </x:c>
      <x:c r="C27" s="19" t="str">
        <x:v>simpy</x:v>
      </x:c>
      <x:c r="D27" s="19" t="str">
        <x:v>SimPy 离散事件仿真</x:v>
      </x:c>
      <x:c r="E27" s="19" t="str">
        <x:v>用事件、进程和资源构建可重复的离散事件模型，并设计有界仿真实验。</x:v>
      </x:c>
      <x:c r="F27" s="19" t="str">
        <x:v>https://github.com/K-Dense-AI/scientific-agent-skills/blob/main/skills/simpy/SKILL.md</x:v>
      </x:c>
      <x:c r="G27" s="19" t="str">
        <x:v>K-Dense-AI/scientific-agent-skills</x:v>
      </x:c>
      <x:c r="H27" s="19" t="str">
        <x:v>https://github.com/K-Dense-AI/scientific-agent-skills</x:v>
      </x:c>
      <x:c r="I27" s="19" t="str">
        <x:v>Agent Skills（兼容 Codex、Claude Code、Cursor 等）</x:v>
      </x:c>
      <x:c r="J27" s="19" t="str">
        <x:v>社区 skill、GitHub 开源仓库</x:v>
      </x:c>
      <x:c r="K27" s="19" t="str">
        <x:v>仿真、离散事件、资源、队列、实验</x:v>
      </x:c>
      <x:c r="L27" s="19" t="str">
        <x:v>学生、教师、科研人员、数据与技术支持人员</x:v>
      </x:c>
      <x:c r="M27" s="19" t="str">
        <x:v>课程作业、科研数据处理、统计建模、机器学习和科学图表</x:v>
      </x:c>
      <x:c r="N27" s="21" t="str">
        <x:v>A</x:v>
      </x:c>
      <x:c r="O27" s="19" t="str">
        <x:v>按 Codex skill 结构接入；固定依赖版本，并为本校数据与算力环境补充预检。</x:v>
      </x:c>
      <x:c r="P27" s="19" t="str">
        <x:v>Python 及相应科学计算包；部分技能需要 GPU、网络、许可证或较大内存</x:v>
      </x:c>
      <x:c r="Q27" s="19" t="str">
        <x:v>必须先核对数据授权、版本、计算资源和方法假设；示例代码不等同于已验证结果。</x:v>
      </x:c>
      <x:c r="R27" s="21" t="str">
        <x:v>二级包内容验证</x:v>
      </x:c>
      <x:c r="S27" s="21" t="str">
        <x:v>中</x:v>
      </x:c>
      <x:c r="T27" s="20" t="n">
        <x:v>32822</x:v>
      </x:c>
      <x:c r="U27" s="20" t="str">
        <x:v>2026-08-03</x:v>
      </x:c>
      <x:c r="V27" s="18" t="str">
        <x:v>MIT</x:v>
      </x:c>
    </x:row>
    <x:row r="28" ht="58" customHeight="1">
      <x:c r="A28" s="20" t="n">
        <x:v>24</x:v>
      </x:c>
      <x:c r="B28" s="20" t="str">
        <x:v>GH-05-0024</x:v>
      </x:c>
      <x:c r="C28" s="19" t="str">
        <x:v>optimize-for-gpu</x:v>
      </x:c>
      <x:c r="D28" s="19" t="str">
        <x:v>Python GPU 性能优化</x:v>
      </x:c>
      <x:c r="E28" s="19" t="str">
        <x:v>先分析性能瓶颈和数据搬运成本，再选择 GPU 库并分阶段优化 Python 工作负载。</x:v>
      </x:c>
      <x:c r="F28" s="19" t="str">
        <x:v>https://github.com/K-Dense-AI/scientific-agent-skills/blob/main/skills/optimize-for-gpu/SKILL.md</x:v>
      </x:c>
      <x:c r="G28" s="19" t="str">
        <x:v>K-Dense-AI/scientific-agent-skills</x:v>
      </x:c>
      <x:c r="H28" s="19" t="str">
        <x:v>https://github.com/K-Dense-AI/scientific-agent-skills</x:v>
      </x:c>
      <x:c r="I28" s="19" t="str">
        <x:v>Agent Skills（兼容 Codex、Claude Code、Cursor 等）</x:v>
      </x:c>
      <x:c r="J28" s="19" t="str">
        <x:v>社区 skill、GitHub 开源仓库</x:v>
      </x:c>
      <x:c r="K28" s="19" t="str">
        <x:v>GPU、性能分析、CUDA、向量化、优化</x:v>
      </x:c>
      <x:c r="L28" s="19" t="str">
        <x:v>学生、教师、科研人员、数据与技术支持人员</x:v>
      </x:c>
      <x:c r="M28" s="19" t="str">
        <x:v>课程作业、科研数据处理、统计建模、机器学习和科学图表</x:v>
      </x:c>
      <x:c r="N28" s="21" t="str">
        <x:v>A</x:v>
      </x:c>
      <x:c r="O28" s="19" t="str">
        <x:v>按 Codex skill 结构接入；固定依赖版本，并为本校数据与算力环境补充预检。</x:v>
      </x:c>
      <x:c r="P28" s="19" t="str">
        <x:v>Python 及相应科学计算包；部分技能需要 GPU、网络、许可证或较大内存</x:v>
      </x:c>
      <x:c r="Q28" s="19" t="str">
        <x:v>必须先核对数据授权、版本、计算资源和方法假设；示例代码不等同于已验证结果。</x:v>
      </x:c>
      <x:c r="R28" s="21" t="str">
        <x:v>二级包内容验证</x:v>
      </x:c>
      <x:c r="S28" s="21" t="str">
        <x:v>中</x:v>
      </x:c>
      <x:c r="T28" s="20" t="n">
        <x:v>32822</x:v>
      </x:c>
      <x:c r="U28" s="20" t="str">
        <x:v>2026-08-03</x:v>
      </x:c>
      <x:c r="V28" s="18" t="str">
        <x:v>MIT</x:v>
      </x:c>
    </x:row>
    <x:row r="29" ht="58" customHeight="1">
      <x:c r="A29" s="20" t="n">
        <x:v>25</x:v>
      </x:c>
      <x:c r="B29" s="20" t="str">
        <x:v>GH-05-0025</x:v>
      </x:c>
      <x:c r="C29" s="19" t="str">
        <x:v>pymoo</x:v>
      </x:c>
      <x:c r="D29" s="19" t="str">
        <x:v>Pymoo 多目标优化</x:v>
      </x:c>
      <x:c r="E29" s="19" t="str">
        <x:v>定义目标、约束与算法，求解并解释多目标优化中的 Pareto 解集。</x:v>
      </x:c>
      <x:c r="F29" s="19" t="str">
        <x:v>https://github.com/K-Dense-AI/scientific-agent-skills/blob/main/skills/pymoo/SKILL.md</x:v>
      </x:c>
      <x:c r="G29" s="19" t="str">
        <x:v>K-Dense-AI/scientific-agent-skills</x:v>
      </x:c>
      <x:c r="H29" s="19" t="str">
        <x:v>https://github.com/K-Dense-AI/scientific-agent-skills</x:v>
      </x:c>
      <x:c r="I29" s="19" t="str">
        <x:v>Agent Skills（兼容 Codex、Claude Code、Cursor 等）</x:v>
      </x:c>
      <x:c r="J29" s="19" t="str">
        <x:v>社区 skill、GitHub 开源仓库</x:v>
      </x:c>
      <x:c r="K29" s="19" t="str">
        <x:v>多目标优化、Pareto、约束、进化算法</x:v>
      </x:c>
      <x:c r="L29" s="19" t="str">
        <x:v>学生、教师、科研人员、数据与技术支持人员</x:v>
      </x:c>
      <x:c r="M29" s="19" t="str">
        <x:v>课程作业、科研数据处理、统计建模、机器学习和科学图表</x:v>
      </x:c>
      <x:c r="N29" s="21" t="str">
        <x:v>A</x:v>
      </x:c>
      <x:c r="O29" s="19" t="str">
        <x:v>按 Codex skill 结构接入；固定依赖版本，并为本校数据与算力环境补充预检。</x:v>
      </x:c>
      <x:c r="P29" s="19" t="str">
        <x:v>Python 及相应科学计算包；部分技能需要 GPU、网络、许可证或较大内存</x:v>
      </x:c>
      <x:c r="Q29" s="19" t="str">
        <x:v>必须先核对数据授权、版本、计算资源和方法假设；示例代码不等同于已验证结果。</x:v>
      </x:c>
      <x:c r="R29" s="21" t="str">
        <x:v>二级包内容验证</x:v>
      </x:c>
      <x:c r="S29" s="21" t="str">
        <x:v>中</x:v>
      </x:c>
      <x:c r="T29" s="20" t="n">
        <x:v>32822</x:v>
      </x:c>
      <x:c r="U29" s="20" t="str">
        <x:v>2026-08-03</x:v>
      </x:c>
      <x:c r="V29" s="18" t="str">
        <x:v>MIT</x:v>
      </x:c>
    </x:row>
    <x:row r="30" ht="58" customHeight="1">
      <x:c r="A30" s="20" t="n">
        <x:v>26</x:v>
      </x:c>
      <x:c r="B30" s="20" t="str">
        <x:v>GH-05-0026</x:v>
      </x:c>
      <x:c r="C30" s="19" t="str">
        <x:v>pytorch-lightning</x:v>
      </x:c>
      <x:c r="D30" s="19" t="str">
        <x:v>PyTorch Lightning 训练工程</x:v>
      </x:c>
      <x:c r="E30" s="19" t="str">
        <x:v>用 LightningModule、Trainer 和 DataModule 组织可复现、可扩展的深度学习训练。</x:v>
      </x:c>
      <x:c r="F30" s="19" t="str">
        <x:v>https://github.com/K-Dense-AI/scientific-agent-skills/blob/main/skills/pytorch-lightning/SKILL.md</x:v>
      </x:c>
      <x:c r="G30" s="19" t="str">
        <x:v>K-Dense-AI/scientific-agent-skills</x:v>
      </x:c>
      <x:c r="H30" s="19" t="str">
        <x:v>https://github.com/K-Dense-AI/scientific-agent-skills</x:v>
      </x:c>
      <x:c r="I30" s="19" t="str">
        <x:v>Agent Skills（兼容 Codex、Claude Code、Cursor 等）</x:v>
      </x:c>
      <x:c r="J30" s="19" t="str">
        <x:v>社区 skill、GitHub 开源仓库</x:v>
      </x:c>
      <x:c r="K30" s="19" t="str">
        <x:v>深度学习、训练循环、分布式、复现、日志</x:v>
      </x:c>
      <x:c r="L30" s="19" t="str">
        <x:v>学生、教师、科研人员、数据与技术支持人员</x:v>
      </x:c>
      <x:c r="M30" s="19" t="str">
        <x:v>课程作业、科研数据处理、统计建模、机器学习和科学图表</x:v>
      </x:c>
      <x:c r="N30" s="21" t="str">
        <x:v>A</x:v>
      </x:c>
      <x:c r="O30" s="19" t="str">
        <x:v>按 Codex skill 结构接入；固定依赖版本，并为本校数据与算力环境补充预检。</x:v>
      </x:c>
      <x:c r="P30" s="19" t="str">
        <x:v>Python 及相应科学计算包；部分技能需要 GPU、网络、许可证或较大内存</x:v>
      </x:c>
      <x:c r="Q30" s="19" t="str">
        <x:v>必须先核对数据授权、版本、计算资源和方法假设；示例代码不等同于已验证结果。</x:v>
      </x:c>
      <x:c r="R30" s="21" t="str">
        <x:v>二级包内容验证</x:v>
      </x:c>
      <x:c r="S30" s="21" t="str">
        <x:v>中</x:v>
      </x:c>
      <x:c r="T30" s="20" t="n">
        <x:v>32822</x:v>
      </x:c>
      <x:c r="U30" s="20" t="str">
        <x:v>2026-08-03</x:v>
      </x:c>
      <x:c r="V30" s="18" t="str">
        <x:v>MIT</x:v>
      </x:c>
    </x:row>
    <x:row r="31" ht="58" customHeight="1">
      <x:c r="A31" s="20" t="n">
        <x:v>27</x:v>
      </x:c>
      <x:c r="B31" s="20" t="str">
        <x:v>GH-05-0027</x:v>
      </x:c>
      <x:c r="C31" s="19" t="str">
        <x:v>transformers</x:v>
      </x:c>
      <x:c r="D31" s="19" t="str">
        <x:v>Transformers 模型应用</x:v>
      </x:c>
      <x:c r="E31" s="19" t="str">
        <x:v>使用 Transformers 完成模型加载、推理、任务管道和受控微调，并处理认证与版本差异。</x:v>
      </x:c>
      <x:c r="F31" s="19" t="str">
        <x:v>https://github.com/K-Dense-AI/scientific-agent-skills/blob/main/skills/transformers/SKILL.md</x:v>
      </x:c>
      <x:c r="G31" s="19" t="str">
        <x:v>K-Dense-AI/scientific-agent-skills</x:v>
      </x:c>
      <x:c r="H31" s="19" t="str">
        <x:v>https://github.com/K-Dense-AI/scientific-agent-skills</x:v>
      </x:c>
      <x:c r="I31" s="19" t="str">
        <x:v>Agent Skills（兼容 Codex、Claude Code、Cursor 等）</x:v>
      </x:c>
      <x:c r="J31" s="19" t="str">
        <x:v>社区 skill、GitHub 开源仓库</x:v>
      </x:c>
      <x:c r="K31" s="19" t="str">
        <x:v>Transformer、NLP、推理、微调、模型仓库</x:v>
      </x:c>
      <x:c r="L31" s="19" t="str">
        <x:v>学生、教师、科研人员、数据与技术支持人员</x:v>
      </x:c>
      <x:c r="M31" s="19" t="str">
        <x:v>课程作业、科研数据处理、统计建模、机器学习和科学图表</x:v>
      </x:c>
      <x:c r="N31" s="21" t="str">
        <x:v>A</x:v>
      </x:c>
      <x:c r="O31" s="19" t="str">
        <x:v>按 Codex skill 结构接入；固定依赖版本，并为本校数据与算力环境补充预检。</x:v>
      </x:c>
      <x:c r="P31" s="19" t="str">
        <x:v>Python 及相应科学计算包；部分技能需要 GPU、网络、许可证或较大内存</x:v>
      </x:c>
      <x:c r="Q31" s="19" t="str">
        <x:v>必须先核对数据授权、版本、计算资源和方法假设；示例代码不等同于已验证结果。</x:v>
      </x:c>
      <x:c r="R31" s="21" t="str">
        <x:v>二级包内容验证</x:v>
      </x:c>
      <x:c r="S31" s="21" t="str">
        <x:v>中</x:v>
      </x:c>
      <x:c r="T31" s="20" t="n">
        <x:v>32822</x:v>
      </x:c>
      <x:c r="U31" s="20" t="str">
        <x:v>2026-08-03</x:v>
      </x:c>
      <x:c r="V31" s="18" t="str">
        <x:v>MIT</x:v>
      </x:c>
    </x:row>
    <x:row r="32" ht="58" customHeight="1">
      <x:c r="A32" s="20" t="n">
        <x:v>28</x:v>
      </x:c>
      <x:c r="B32" s="20" t="str">
        <x:v>GH-05-0028</x:v>
      </x:c>
      <x:c r="C32" s="19" t="str">
        <x:v>systematic-debugging</x:v>
      </x:c>
      <x:c r="D32" s="19" t="str">
        <x:v>系统化调试</x:v>
      </x:c>
      <x:c r="E32" s="19" t="str">
        <x:v>按根因调查、模式分析、假设验证和修复确认四阶段处理软件缺陷。</x:v>
      </x:c>
      <x:c r="F32" s="19" t="str">
        <x:v>https://github.com/obra/superpowers/blob/main/skills/systematic-debugging/SKILL.md</x:v>
      </x:c>
      <x:c r="G32" s="19" t="str">
        <x:v>obra/superpowers</x:v>
      </x:c>
      <x:c r="H32" s="19" t="str">
        <x:v>https://github.com/obra/superpowers</x:v>
      </x:c>
      <x:c r="I32" s="19" t="str">
        <x:v>Agent Skills（兼容 Codex、Claude Code）</x:v>
      </x:c>
      <x:c r="J32" s="19" t="str">
        <x:v>社区 skill、GitHub 开源仓库</x:v>
      </x:c>
      <x:c r="K32" s="19" t="str">
        <x:v>调试、根因分析、假设检验、证据</x:v>
      </x:c>
      <x:c r="L32" s="19" t="str">
        <x:v>学生、教师、开发与技术支持人员</x:v>
      </x:c>
      <x:c r="M32" s="19" t="str">
        <x:v>课程项目、科研软件、系统开发中的调试、测试与审查</x:v>
      </x:c>
      <x:c r="N32" s="21" t="str">
        <x:v>A</x:v>
      </x:c>
      <x:c r="O32" s="19" t="str">
        <x:v>可直接采用方法流程；与项目现有测试、版本控制和审查规则对齐。</x:v>
      </x:c>
      <x:c r="P32" s="19" t="str">
        <x:v>代码库、测试工具和版本控制环境</x:v>
      </x:c>
      <x:c r="Q32" s="19" t="str">
        <x:v>方法会改变开发节奏；不能把流程完成当作功能正确，仍需真实测试证据。</x:v>
      </x:c>
      <x:c r="R32" s="21" t="str">
        <x:v>二级包内容验证</x:v>
      </x:c>
      <x:c r="S32" s="21" t="str">
        <x:v>高</x:v>
      </x:c>
      <x:c r="T32" s="20" t="n">
        <x:v>267788</x:v>
      </x:c>
      <x:c r="U32" s="20" t="str">
        <x:v>2026-08-06</x:v>
      </x:c>
      <x:c r="V32" s="18" t="str">
        <x:v>MIT</x:v>
      </x:c>
    </x:row>
    <x:row r="33" ht="58" customHeight="1">
      <x:c r="A33" s="20" t="n">
        <x:v>29</x:v>
      </x:c>
      <x:c r="B33" s="20" t="str">
        <x:v>GH-05-0029</x:v>
      </x:c>
      <x:c r="C33" s="19" t="str">
        <x:v>test-driven-development</x:v>
      </x:c>
      <x:c r="D33" s="19" t="str">
        <x:v>测试驱动开发</x:v>
      </x:c>
      <x:c r="E33" s="19" t="str">
        <x:v>执行先失败测试、最小实现和重构循环，确保每次行为变更都有可观察证据。</x:v>
      </x:c>
      <x:c r="F33" s="19" t="str">
        <x:v>https://github.com/obra/superpowers/blob/main/skills/test-driven-development/SKILL.md</x:v>
      </x:c>
      <x:c r="G33" s="19" t="str">
        <x:v>obra/superpowers</x:v>
      </x:c>
      <x:c r="H33" s="19" t="str">
        <x:v>https://github.com/obra/superpowers</x:v>
      </x:c>
      <x:c r="I33" s="19" t="str">
        <x:v>Agent Skills（兼容 Codex、Claude Code）</x:v>
      </x:c>
      <x:c r="J33" s="19" t="str">
        <x:v>社区 skill、GitHub 开源仓库</x:v>
      </x:c>
      <x:c r="K33" s="19" t="str">
        <x:v>TDD、红绿重构、单元测试、设计</x:v>
      </x:c>
      <x:c r="L33" s="19" t="str">
        <x:v>学生、教师、开发与技术支持人员</x:v>
      </x:c>
      <x:c r="M33" s="19" t="str">
        <x:v>课程项目、科研软件、系统开发中的调试、测试与审查</x:v>
      </x:c>
      <x:c r="N33" s="21" t="str">
        <x:v>A</x:v>
      </x:c>
      <x:c r="O33" s="19" t="str">
        <x:v>可直接采用方法流程；与项目现有测试、版本控制和审查规则对齐。</x:v>
      </x:c>
      <x:c r="P33" s="19" t="str">
        <x:v>代码库、测试工具和版本控制环境</x:v>
      </x:c>
      <x:c r="Q33" s="19" t="str">
        <x:v>方法会改变开发节奏；不能把流程完成当作功能正确，仍需真实测试证据。</x:v>
      </x:c>
      <x:c r="R33" s="21" t="str">
        <x:v>二级包内容验证</x:v>
      </x:c>
      <x:c r="S33" s="21" t="str">
        <x:v>高</x:v>
      </x:c>
      <x:c r="T33" s="20" t="n">
        <x:v>267788</x:v>
      </x:c>
      <x:c r="U33" s="20" t="str">
        <x:v>2026-08-06</x:v>
      </x:c>
      <x:c r="V33" s="18" t="str">
        <x:v>MIT</x:v>
      </x:c>
    </x:row>
    <x:row r="34" ht="58" customHeight="1">
      <x:c r="A34" s="20" t="n">
        <x:v>30</x:v>
      </x:c>
      <x:c r="B34" s="20" t="str">
        <x:v>GH-05-0030</x:v>
      </x:c>
      <x:c r="C34" s="19" t="str">
        <x:v>requesting-code-review</x:v>
      </x:c>
      <x:c r="D34" s="19" t="str">
        <x:v>发起代码审查</x:v>
      </x:c>
      <x:c r="E34" s="19" t="str">
        <x:v>在关键节点整理变更范围、验证证据和审查重点，发起可执行的代码审查。</x:v>
      </x:c>
      <x:c r="F34" s="19" t="str">
        <x:v>https://github.com/obra/superpowers/blob/main/skills/requesting-code-review/SKILL.md</x:v>
      </x:c>
      <x:c r="G34" s="19" t="str">
        <x:v>obra/superpowers</x:v>
      </x:c>
      <x:c r="H34" s="19" t="str">
        <x:v>https://github.com/obra/superpowers</x:v>
      </x:c>
      <x:c r="I34" s="19" t="str">
        <x:v>Agent Skills（兼容 Codex、Claude Code）</x:v>
      </x:c>
      <x:c r="J34" s="19" t="str">
        <x:v>社区 skill、GitHub 开源仓库</x:v>
      </x:c>
      <x:c r="K34" s="19" t="str">
        <x:v>代码审查、变更范围、审查请求、质量门</x:v>
      </x:c>
      <x:c r="L34" s="19" t="str">
        <x:v>学生、教师、开发与技术支持人员</x:v>
      </x:c>
      <x:c r="M34" s="19" t="str">
        <x:v>课程项目、科研软件、系统开发中的调试、测试与审查</x:v>
      </x:c>
      <x:c r="N34" s="21" t="str">
        <x:v>A</x:v>
      </x:c>
      <x:c r="O34" s="19" t="str">
        <x:v>可直接采用方法流程；与项目现有测试、版本控制和审查规则对齐。</x:v>
      </x:c>
      <x:c r="P34" s="19" t="str">
        <x:v>代码库、测试工具和版本控制环境</x:v>
      </x:c>
      <x:c r="Q34" s="19" t="str">
        <x:v>方法会改变开发节奏；不能把流程完成当作功能正确，仍需真实测试证据。</x:v>
      </x:c>
      <x:c r="R34" s="21" t="str">
        <x:v>二级包内容验证</x:v>
      </x:c>
      <x:c r="S34" s="21" t="str">
        <x:v>中</x:v>
      </x:c>
      <x:c r="T34" s="20" t="n">
        <x:v>267788</x:v>
      </x:c>
      <x:c r="U34" s="20" t="str">
        <x:v>2026-08-06</x:v>
      </x:c>
      <x:c r="V34" s="18" t="str">
        <x:v>MIT</x:v>
      </x:c>
    </x:row>
    <x:row r="35" ht="58" customHeight="1">
      <x:c r="A35" s="20" t="n">
        <x:v>31</x:v>
      </x:c>
      <x:c r="B35" s="20" t="str">
        <x:v>GH-05-0031</x:v>
      </x:c>
      <x:c r="C35" s="19" t="str">
        <x:v>receiving-code-review</x:v>
      </x:c>
      <x:c r="D35" s="19" t="str">
        <x:v>处理代码审查反馈</x:v>
      </x:c>
      <x:c r="E35" s="19" t="str">
        <x:v>先理解和验证审查意见，再按技术证据实施，妥善处理含糊或不适用建议。</x:v>
      </x:c>
      <x:c r="F35" s="19" t="str">
        <x:v>https://github.com/obra/superpowers/blob/main/skills/receiving-code-review/SKILL.md</x:v>
      </x:c>
      <x:c r="G35" s="19" t="str">
        <x:v>obra/superpowers</x:v>
      </x:c>
      <x:c r="H35" s="19" t="str">
        <x:v>https://github.com/obra/superpowers</x:v>
      </x:c>
      <x:c r="I35" s="19" t="str">
        <x:v>Agent Skills（兼容 Codex、Claude Code）</x:v>
      </x:c>
      <x:c r="J35" s="19" t="str">
        <x:v>社区 skill、GitHub 开源仓库</x:v>
      </x:c>
      <x:c r="K35" s="19" t="str">
        <x:v>代码审查、反馈验证、技术判断、沟通</x:v>
      </x:c>
      <x:c r="L35" s="19" t="str">
        <x:v>学生、教师、开发与技术支持人员</x:v>
      </x:c>
      <x:c r="M35" s="19" t="str">
        <x:v>课程项目、科研软件、系统开发中的调试、测试与审查</x:v>
      </x:c>
      <x:c r="N35" s="21" t="str">
        <x:v>A</x:v>
      </x:c>
      <x:c r="O35" s="19" t="str">
        <x:v>可直接采用方法流程；与项目现有测试、版本控制和审查规则对齐。</x:v>
      </x:c>
      <x:c r="P35" s="19" t="str">
        <x:v>代码库、测试工具和版本控制环境</x:v>
      </x:c>
      <x:c r="Q35" s="19" t="str">
        <x:v>方法会改变开发节奏；不能把流程完成当作功能正确，仍需真实测试证据。</x:v>
      </x:c>
      <x:c r="R35" s="21" t="str">
        <x:v>说明已核验</x:v>
      </x:c>
      <x:c r="S35" s="21" t="str">
        <x:v>中</x:v>
      </x:c>
      <x:c r="T35" s="20" t="n">
        <x:v>267788</x:v>
      </x:c>
      <x:c r="U35" s="20" t="str">
        <x:v>2026-08-06</x:v>
      </x:c>
      <x:c r="V35" s="18" t="str">
        <x:v>MIT</x:v>
      </x:c>
    </x:row>
    <x:row r="36" ht="58" customHeight="1">
      <x:c r="A36" s="20" t="n">
        <x:v>32</x:v>
      </x:c>
      <x:c r="B36" s="20" t="str">
        <x:v>GH-05-0032</x:v>
      </x:c>
      <x:c r="C36" s="19" t="str">
        <x:v>data-storytelling</x:v>
      </x:c>
      <x:c r="D36" s="19" t="str">
        <x:v>数据叙事与洞察表达</x:v>
      </x:c>
      <x:c r="E36" s="19" t="str">
        <x:v>把分析结论组织为面向特定受众的背景、冲突、洞察和行动建议。</x:v>
      </x:c>
      <x:c r="F36" s="19" t="str">
        <x:v>https://github.com/wshobson/agents/blob/main/plugins/business-analytics/skills/data-storytelling/SKILL.md</x:v>
      </x:c>
      <x:c r="G36" s="19" t="str">
        <x:v>wshobson/agents</x:v>
      </x:c>
      <x:c r="H36" s="19" t="str">
        <x:v>https://github.com/wshobson/agents</x:v>
      </x:c>
      <x:c r="I36" s="19" t="str">
        <x:v>多智能体生态（Codex、Claude Code、Cursor、Gemini CLI 等）</x:v>
      </x:c>
      <x:c r="J36" s="19" t="str">
        <x:v>社区 skill、GitHub 开源仓库</x:v>
      </x:c>
      <x:c r="K36" s="19" t="str">
        <x:v>数据故事、受众、叙事结构、图表、建议</x:v>
      </x:c>
      <x:c r="L36" s="19" t="str">
        <x:v>学生、教师、数据工程与开发人员</x:v>
      </x:c>
      <x:c r="M36" s="19" t="str">
        <x:v>教学项目、数据平台、数据库、Python/JavaScript 工程和 MLOps</x:v>
      </x:c>
      <x:c r="N36" s="21" t="str">
        <x:v>B</x:v>
      </x:c>
      <x:c r="O36" s="19" t="str">
        <x:v>抽取单一 skill 并替换 Claude 插件路由；保留与现有工具链相匹配的章节。</x:v>
      </x:c>
      <x:c r="P36" s="19" t="str">
        <x:v>对应语言、数据库或数据平台；部分流程需要云服务或测试框架</x:v>
      </x:c>
      <x:c r="Q36" s="19" t="str">
        <x:v>技术栈与版本差异较大；性能、安全和数据质量结论必须由实际环境验证。</x:v>
      </x:c>
      <x:c r="R36" s="21" t="str">
        <x:v>二级包内容验证</x:v>
      </x:c>
      <x:c r="S36" s="21" t="str">
        <x:v>高</x:v>
      </x:c>
      <x:c r="T36" s="20" t="n">
        <x:v>38534</x:v>
      </x:c>
      <x:c r="U36" s="20" t="str">
        <x:v>2026-08-05</x:v>
      </x:c>
      <x:c r="V36" s="18" t="str">
        <x:v>MIT</x:v>
      </x:c>
    </x:row>
    <x:row r="37" ht="58" customHeight="1">
      <x:c r="A37" s="20" t="n">
        <x:v>33</x:v>
      </x:c>
      <x:c r="B37" s="20" t="str">
        <x:v>GH-05-0033</x:v>
      </x:c>
      <x:c r="C37" s="19" t="str">
        <x:v>postgresql</x:v>
      </x:c>
      <x:c r="D37" s="19" t="str">
        <x:v>PostgreSQL 表结构设计</x:v>
      </x:c>
      <x:c r="E37" s="19" t="str">
        <x:v>依据 PostgreSQL 特性设计数据类型、约束、索引、表类别和行级安全。</x:v>
      </x:c>
      <x:c r="F37" s="19" t="str">
        <x:v>https://github.com/wshobson/agents/blob/main/plugins/database-design/skills/postgresql/SKILL.md</x:v>
      </x:c>
      <x:c r="G37" s="19" t="str">
        <x:v>wshobson/agents</x:v>
      </x:c>
      <x:c r="H37" s="19" t="str">
        <x:v>https://github.com/wshobson/agents</x:v>
      </x:c>
      <x:c r="I37" s="19" t="str">
        <x:v>多智能体生态（Codex、Claude Code、Cursor、Gemini CLI 等）</x:v>
      </x:c>
      <x:c r="J37" s="19" t="str">
        <x:v>社区 skill、GitHub 开源仓库</x:v>
      </x:c>
      <x:c r="K37" s="19" t="str">
        <x:v>PostgreSQL、数据类型、约束、索引、RLS</x:v>
      </x:c>
      <x:c r="L37" s="19" t="str">
        <x:v>学生、教师、数据工程与开发人员</x:v>
      </x:c>
      <x:c r="M37" s="19" t="str">
        <x:v>教学项目、数据平台、数据库、Python/JavaScript 工程和 MLOps</x:v>
      </x:c>
      <x:c r="N37" s="21" t="str">
        <x:v>B</x:v>
      </x:c>
      <x:c r="O37" s="19" t="str">
        <x:v>抽取单一 skill 并替换 Claude 插件路由；保留与现有工具链相匹配的章节。</x:v>
      </x:c>
      <x:c r="P37" s="19" t="str">
        <x:v>对应语言、数据库或数据平台；部分流程需要云服务或测试框架</x:v>
      </x:c>
      <x:c r="Q37" s="19" t="str">
        <x:v>技术栈与版本差异较大；性能、安全和数据质量结论必须由实际环境验证。</x:v>
      </x:c>
      <x:c r="R37" s="21" t="str">
        <x:v>说明已核验</x:v>
      </x:c>
      <x:c r="S37" s="21" t="str">
        <x:v>中</x:v>
      </x:c>
      <x:c r="T37" s="20" t="n">
        <x:v>38534</x:v>
      </x:c>
      <x:c r="U37" s="20" t="str">
        <x:v>2026-08-05</x:v>
      </x:c>
      <x:c r="V37" s="18" t="str">
        <x:v>MIT</x:v>
      </x:c>
    </x:row>
    <x:row r="38" ht="58" customHeight="1">
      <x:c r="A38" s="20" t="n">
        <x:v>34</x:v>
      </x:c>
      <x:c r="B38" s="20" t="str">
        <x:v>GH-05-0034</x:v>
      </x:c>
      <x:c r="C38" s="19" t="str">
        <x:v>data-quality-frameworks</x:v>
      </x:c>
      <x:c r="D38" s="19" t="str">
        <x:v>数据质量框架</x:v>
      </x:c>
      <x:c r="E38" s="19" t="str">
        <x:v>按准确性、完整性、一致性等维度设计数据质量规则、测试层级和监控。</x:v>
      </x:c>
      <x:c r="F38" s="19" t="str">
        <x:v>https://github.com/wshobson/agents/blob/main/plugins/data-engineering/skills/data-quality-frameworks/SKILL.md</x:v>
      </x:c>
      <x:c r="G38" s="19" t="str">
        <x:v>wshobson/agents</x:v>
      </x:c>
      <x:c r="H38" s="19" t="str">
        <x:v>https://github.com/wshobson/agents</x:v>
      </x:c>
      <x:c r="I38" s="19" t="str">
        <x:v>多智能体生态（Codex、Claude Code、Cursor、Gemini CLI 等）</x:v>
      </x:c>
      <x:c r="J38" s="19" t="str">
        <x:v>社区 skill、GitHub 开源仓库</x:v>
      </x:c>
      <x:c r="K38" s="19" t="str">
        <x:v>数据质量、测试金字塔、校验、可观测性</x:v>
      </x:c>
      <x:c r="L38" s="19" t="str">
        <x:v>学生、教师、数据工程与开发人员</x:v>
      </x:c>
      <x:c r="M38" s="19" t="str">
        <x:v>教学项目、数据平台、数据库、Python/JavaScript 工程和 MLOps</x:v>
      </x:c>
      <x:c r="N38" s="21" t="str">
        <x:v>B</x:v>
      </x:c>
      <x:c r="O38" s="19" t="str">
        <x:v>抽取单一 skill 并替换 Claude 插件路由；保留与现有工具链相匹配的章节。</x:v>
      </x:c>
      <x:c r="P38" s="19" t="str">
        <x:v>对应语言、数据库或数据平台；部分流程需要云服务或测试框架</x:v>
      </x:c>
      <x:c r="Q38" s="19" t="str">
        <x:v>技术栈与版本差异较大；性能、安全和数据质量结论必须由实际环境验证。</x:v>
      </x:c>
      <x:c r="R38" s="21" t="str">
        <x:v>二级包内容验证</x:v>
      </x:c>
      <x:c r="S38" s="21" t="str">
        <x:v>中</x:v>
      </x:c>
      <x:c r="T38" s="20" t="n">
        <x:v>38534</x:v>
      </x:c>
      <x:c r="U38" s="20" t="str">
        <x:v>2026-08-05</x:v>
      </x:c>
      <x:c r="V38" s="18" t="str">
        <x:v>MIT</x:v>
      </x:c>
    </x:row>
    <x:row r="39" ht="58" customHeight="1">
      <x:c r="A39" s="20" t="n">
        <x:v>35</x:v>
      </x:c>
      <x:c r="B39" s="20" t="str">
        <x:v>GH-05-0035</x:v>
      </x:c>
      <x:c r="C39" s="19" t="str">
        <x:v>dbt-transformation-patterns</x:v>
      </x:c>
      <x:c r="D39" s="19" t="str">
        <x:v>dbt 数据转换模式</x:v>
      </x:c>
      <x:c r="E39" s="19" t="str">
        <x:v>使用分层模型、命名、测试和文档惯例组织可维护的 dbt 转换项目。</x:v>
      </x:c>
      <x:c r="F39" s="19" t="str">
        <x:v>https://github.com/wshobson/agents/blob/main/plugins/data-engineering/skills/dbt-transformation-patterns/SKILL.md</x:v>
      </x:c>
      <x:c r="G39" s="19" t="str">
        <x:v>wshobson/agents</x:v>
      </x:c>
      <x:c r="H39" s="19" t="str">
        <x:v>https://github.com/wshobson/agents</x:v>
      </x:c>
      <x:c r="I39" s="19" t="str">
        <x:v>多智能体生态（Codex、Claude Code、Cursor、Gemini CLI 等）</x:v>
      </x:c>
      <x:c r="J39" s="19" t="str">
        <x:v>社区 skill、GitHub 开源仓库</x:v>
      </x:c>
      <x:c r="K39" s="19" t="str">
        <x:v>dbt、分层建模、测试、文档、血缘</x:v>
      </x:c>
      <x:c r="L39" s="19" t="str">
        <x:v>学生、教师、数据工程与开发人员</x:v>
      </x:c>
      <x:c r="M39" s="19" t="str">
        <x:v>教学项目、数据平台、数据库、Python/JavaScript 工程和 MLOps</x:v>
      </x:c>
      <x:c r="N39" s="21" t="str">
        <x:v>B</x:v>
      </x:c>
      <x:c r="O39" s="19" t="str">
        <x:v>抽取单一 skill 并替换 Claude 插件路由；保留与现有工具链相匹配的章节。</x:v>
      </x:c>
      <x:c r="P39" s="19" t="str">
        <x:v>对应语言、数据库或数据平台；部分流程需要云服务或测试框架</x:v>
      </x:c>
      <x:c r="Q39" s="19" t="str">
        <x:v>技术栈与版本差异较大；性能、安全和数据质量结论必须由实际环境验证。</x:v>
      </x:c>
      <x:c r="R39" s="21" t="str">
        <x:v>二级包内容验证</x:v>
      </x:c>
      <x:c r="S39" s="21" t="str">
        <x:v>中</x:v>
      </x:c>
      <x:c r="T39" s="20" t="n">
        <x:v>38534</x:v>
      </x:c>
      <x:c r="U39" s="20" t="str">
        <x:v>2026-08-05</x:v>
      </x:c>
      <x:c r="V39" s="18" t="str">
        <x:v>MIT</x:v>
      </x:c>
    </x:row>
    <x:row r="40" ht="58" customHeight="1">
      <x:c r="A40" s="20" t="n">
        <x:v>36</x:v>
      </x:c>
      <x:c r="B40" s="20" t="str">
        <x:v>GH-05-0036</x:v>
      </x:c>
      <x:c r="C40" s="19" t="str">
        <x:v>spark-optimization</x:v>
      </x:c>
      <x:c r="D40" s="19" t="str">
        <x:v>Apache Spark 性能优化</x:v>
      </x:c>
      <x:c r="E40" s="19" t="str">
        <x:v>通过执行计划、分区、连接策略和资源配置诊断并优化 Spark 作业。</x:v>
      </x:c>
      <x:c r="F40" s="19" t="str">
        <x:v>https://github.com/wshobson/agents/blob/main/plugins/data-engineering/skills/spark-optimization/SKILL.md</x:v>
      </x:c>
      <x:c r="G40" s="19" t="str">
        <x:v>wshobson/agents</x:v>
      </x:c>
      <x:c r="H40" s="19" t="str">
        <x:v>https://github.com/wshobson/agents</x:v>
      </x:c>
      <x:c r="I40" s="19" t="str">
        <x:v>多智能体生态（Codex、Claude Code、Cursor、Gemini CLI 等）</x:v>
      </x:c>
      <x:c r="J40" s="19" t="str">
        <x:v>社区 skill、GitHub 开源仓库</x:v>
      </x:c>
      <x:c r="K40" s="19" t="str">
        <x:v>Spark、执行计划、分区、缓存、性能</x:v>
      </x:c>
      <x:c r="L40" s="19" t="str">
        <x:v>学生、教师、数据工程与开发人员</x:v>
      </x:c>
      <x:c r="M40" s="19" t="str">
        <x:v>教学项目、数据平台、数据库、Python/JavaScript 工程和 MLOps</x:v>
      </x:c>
      <x:c r="N40" s="21" t="str">
        <x:v>B</x:v>
      </x:c>
      <x:c r="O40" s="19" t="str">
        <x:v>抽取单一 skill 并替换 Claude 插件路由；保留与现有工具链相匹配的章节。</x:v>
      </x:c>
      <x:c r="P40" s="19" t="str">
        <x:v>对应语言、数据库或数据平台；部分流程需要云服务或测试框架</x:v>
      </x:c>
      <x:c r="Q40" s="19" t="str">
        <x:v>技术栈与版本差异较大；性能、安全和数据质量结论必须由实际环境验证。</x:v>
      </x:c>
      <x:c r="R40" s="21" t="str">
        <x:v>二级包内容验证</x:v>
      </x:c>
      <x:c r="S40" s="21" t="str">
        <x:v>中</x:v>
      </x:c>
      <x:c r="T40" s="20" t="n">
        <x:v>38534</x:v>
      </x:c>
      <x:c r="U40" s="20" t="str">
        <x:v>2026-08-05</x:v>
      </x:c>
      <x:c r="V40" s="18" t="str">
        <x:v>MIT</x:v>
      </x:c>
    </x:row>
    <x:row r="41" ht="58" customHeight="1">
      <x:c r="A41" s="20" t="n">
        <x:v>37</x:v>
      </x:c>
      <x:c r="B41" s="20" t="str">
        <x:v>GH-05-0037</x:v>
      </x:c>
      <x:c r="C41" s="19" t="str">
        <x:v>sql-optimization-patterns</x:v>
      </x:c>
      <x:c r="D41" s="19" t="str">
        <x:v>SQL 查询优化</x:v>
      </x:c>
      <x:c r="E41" s="19" t="str">
        <x:v>读取执行计划并应用索引、连接、过滤和重写模式优化 SQL 查询。</x:v>
      </x:c>
      <x:c r="F41" s="19" t="str">
        <x:v>https://github.com/wshobson/agents/blob/main/plugins/developer-essentials/skills/sql-optimization-patterns/SKILL.md</x:v>
      </x:c>
      <x:c r="G41" s="19" t="str">
        <x:v>wshobson/agents</x:v>
      </x:c>
      <x:c r="H41" s="19" t="str">
        <x:v>https://github.com/wshobson/agents</x:v>
      </x:c>
      <x:c r="I41" s="19" t="str">
        <x:v>多智能体生态（Codex、Claude Code、Cursor、Gemini CLI 等）</x:v>
      </x:c>
      <x:c r="J41" s="19" t="str">
        <x:v>社区 skill、GitHub 开源仓库</x:v>
      </x:c>
      <x:c r="K41" s="19" t="str">
        <x:v>SQL、执行计划、索引、连接、性能</x:v>
      </x:c>
      <x:c r="L41" s="19" t="str">
        <x:v>学生、教师、数据工程与开发人员</x:v>
      </x:c>
      <x:c r="M41" s="19" t="str">
        <x:v>教学项目、数据平台、数据库、Python/JavaScript 工程和 MLOps</x:v>
      </x:c>
      <x:c r="N41" s="21" t="str">
        <x:v>B</x:v>
      </x:c>
      <x:c r="O41" s="19" t="str">
        <x:v>抽取单一 skill 并替换 Claude 插件路由；保留与现有工具链相匹配的章节。</x:v>
      </x:c>
      <x:c r="P41" s="19" t="str">
        <x:v>对应语言、数据库或数据平台；部分流程需要云服务或测试框架</x:v>
      </x:c>
      <x:c r="Q41" s="19" t="str">
        <x:v>技术栈与版本差异较大；性能、安全和数据质量结论必须由实际环境验证。</x:v>
      </x:c>
      <x:c r="R41" s="21" t="str">
        <x:v>二级包内容验证</x:v>
      </x:c>
      <x:c r="S41" s="21" t="str">
        <x:v>中</x:v>
      </x:c>
      <x:c r="T41" s="20" t="n">
        <x:v>38534</x:v>
      </x:c>
      <x:c r="U41" s="20" t="str">
        <x:v>2026-08-05</x:v>
      </x:c>
      <x:c r="V41" s="18" t="str">
        <x:v>MIT</x:v>
      </x:c>
    </x:row>
    <x:row r="42" ht="58" customHeight="1">
      <x:c r="A42" s="20" t="n">
        <x:v>38</x:v>
      </x:c>
      <x:c r="B42" s="20" t="str">
        <x:v>GH-05-0038</x:v>
      </x:c>
      <x:c r="C42" s="19" t="str">
        <x:v>ml-pipeline-workflow</x:v>
      </x:c>
      <x:c r="D42" s="19" t="str">
        <x:v>机器学习管道工作流</x:v>
      </x:c>
      <x:c r="E42" s="19" t="str">
        <x:v>规划从数据验证、特征、训练、评估到部署和监控的机器学习管道。</x:v>
      </x:c>
      <x:c r="F42" s="19" t="str">
        <x:v>https://github.com/wshobson/agents/blob/main/plugins/machine-learning-ops/skills/ml-pipeline-workflow/SKILL.md</x:v>
      </x:c>
      <x:c r="G42" s="19" t="str">
        <x:v>wshobson/agents</x:v>
      </x:c>
      <x:c r="H42" s="19" t="str">
        <x:v>https://github.com/wshobson/agents</x:v>
      </x:c>
      <x:c r="I42" s="19" t="str">
        <x:v>多智能体生态（Codex、Claude Code、Cursor、Gemini CLI 等）</x:v>
      </x:c>
      <x:c r="J42" s="19" t="str">
        <x:v>社区 skill、GitHub 开源仓库</x:v>
      </x:c>
      <x:c r="K42" s="19" t="str">
        <x:v>MLOps、训练管道、评估、部署、监控</x:v>
      </x:c>
      <x:c r="L42" s="19" t="str">
        <x:v>学生、教师、数据工程与开发人员</x:v>
      </x:c>
      <x:c r="M42" s="19" t="str">
        <x:v>教学项目、数据平台、数据库、Python/JavaScript 工程和 MLOps</x:v>
      </x:c>
      <x:c r="N42" s="21" t="str">
        <x:v>B</x:v>
      </x:c>
      <x:c r="O42" s="19" t="str">
        <x:v>抽取单一 skill 并替换 Claude 插件路由；保留与现有工具链相匹配的章节。</x:v>
      </x:c>
      <x:c r="P42" s="19" t="str">
        <x:v>对应语言、数据库或数据平台；部分流程需要云服务或测试框架</x:v>
      </x:c>
      <x:c r="Q42" s="19" t="str">
        <x:v>技术栈与版本差异较大；性能、安全和数据质量结论必须由实际环境验证。</x:v>
      </x:c>
      <x:c r="R42" s="21" t="str">
        <x:v>说明已核验</x:v>
      </x:c>
      <x:c r="S42" s="21" t="str">
        <x:v>中</x:v>
      </x:c>
      <x:c r="T42" s="20" t="n">
        <x:v>38534</x:v>
      </x:c>
      <x:c r="U42" s="20" t="str">
        <x:v>2026-08-05</x:v>
      </x:c>
      <x:c r="V42" s="18" t="str">
        <x:v>MIT</x:v>
      </x:c>
    </x:row>
    <x:row r="43" ht="58" customHeight="1">
      <x:c r="A43" s="20" t="n">
        <x:v>39</x:v>
      </x:c>
      <x:c r="B43" s="20" t="str">
        <x:v>GH-05-0039</x:v>
      </x:c>
      <x:c r="C43" s="19" t="str">
        <x:v>python-testing-patterns</x:v>
      </x:c>
      <x:c r="D43" s="19" t="str">
        <x:v>Python 测试模式</x:v>
      </x:c>
      <x:c r="E43" s="19" t="str">
        <x:v>用测试层级、AAA 结构、夹具、模拟和隔离策略构建 Python 测试体系。</x:v>
      </x:c>
      <x:c r="F43" s="19" t="str">
        <x:v>https://github.com/wshobson/agents/blob/main/plugins/python-development/skills/python-testing-patterns/SKILL.md</x:v>
      </x:c>
      <x:c r="G43" s="19" t="str">
        <x:v>wshobson/agents</x:v>
      </x:c>
      <x:c r="H43" s="19" t="str">
        <x:v>https://github.com/wshobson/agents</x:v>
      </x:c>
      <x:c r="I43" s="19" t="str">
        <x:v>多智能体生态（Codex、Claude Code、Cursor、Gemini CLI 等）</x:v>
      </x:c>
      <x:c r="J43" s="19" t="str">
        <x:v>社区 skill、GitHub 开源仓库</x:v>
      </x:c>
      <x:c r="K43" s="19" t="str">
        <x:v>pytest、单元测试、集成测试、隔离、覆盖率</x:v>
      </x:c>
      <x:c r="L43" s="19" t="str">
        <x:v>学生、教师、数据工程与开发人员</x:v>
      </x:c>
      <x:c r="M43" s="19" t="str">
        <x:v>教学项目、数据平台、数据库、Python/JavaScript 工程和 MLOps</x:v>
      </x:c>
      <x:c r="N43" s="21" t="str">
        <x:v>B</x:v>
      </x:c>
      <x:c r="O43" s="19" t="str">
        <x:v>抽取单一 skill 并替换 Claude 插件路由；保留与现有工具链相匹配的章节。</x:v>
      </x:c>
      <x:c r="P43" s="19" t="str">
        <x:v>对应语言、数据库或数据平台；部分流程需要云服务或测试框架</x:v>
      </x:c>
      <x:c r="Q43" s="19" t="str">
        <x:v>技术栈与版本差异较大；性能、安全和数据质量结论必须由实际环境验证。</x:v>
      </x:c>
      <x:c r="R43" s="21" t="str">
        <x:v>二级包内容验证</x:v>
      </x:c>
      <x:c r="S43" s="21" t="str">
        <x:v>高</x:v>
      </x:c>
      <x:c r="T43" s="20" t="n">
        <x:v>38534</x:v>
      </x:c>
      <x:c r="U43" s="20" t="str">
        <x:v>2026-08-05</x:v>
      </x:c>
      <x:c r="V43" s="18" t="str">
        <x:v>MIT</x:v>
      </x:c>
    </x:row>
    <x:row r="44" ht="58" customHeight="1">
      <x:c r="A44" s="20" t="n">
        <x:v>40</x:v>
      </x:c>
      <x:c r="B44" s="20" t="str">
        <x:v>GH-05-0040</x:v>
      </x:c>
      <x:c r="C44" s="19" t="str">
        <x:v>python-code-style</x:v>
      </x:c>
      <x:c r="D44" s="19" t="str">
        <x:v>Python 代码风格与文档</x:v>
      </x:c>
      <x:c r="E44" s="19" t="str">
        <x:v>统一 Python 格式化、命名、类型标注、文档字符串和自动检查。</x:v>
      </x:c>
      <x:c r="F44" s="19" t="str">
        <x:v>https://github.com/wshobson/agents/blob/main/plugins/python-development/skills/python-code-style/SKILL.md</x:v>
      </x:c>
      <x:c r="G44" s="19" t="str">
        <x:v>wshobson/agents</x:v>
      </x:c>
      <x:c r="H44" s="19" t="str">
        <x:v>https://github.com/wshobson/agents</x:v>
      </x:c>
      <x:c r="I44" s="19" t="str">
        <x:v>多智能体生态（Codex、Claude Code、Cursor、Gemini CLI 等）</x:v>
      </x:c>
      <x:c r="J44" s="19" t="str">
        <x:v>社区 skill、GitHub 开源仓库</x:v>
      </x:c>
      <x:c r="K44" s="19" t="str">
        <x:v>Python、格式化、类型标注、文档、命名</x:v>
      </x:c>
      <x:c r="L44" s="19" t="str">
        <x:v>学生、教师、数据工程与开发人员</x:v>
      </x:c>
      <x:c r="M44" s="19" t="str">
        <x:v>教学项目、数据平台、数据库、Python/JavaScript 工程和 MLOps</x:v>
      </x:c>
      <x:c r="N44" s="21" t="str">
        <x:v>B</x:v>
      </x:c>
      <x:c r="O44" s="19" t="str">
        <x:v>抽取单一 skill 并替换 Claude 插件路由；保留与现有工具链相匹配的章节。</x:v>
      </x:c>
      <x:c r="P44" s="19" t="str">
        <x:v>对应语言、数据库或数据平台；部分流程需要云服务或测试框架</x:v>
      </x:c>
      <x:c r="Q44" s="19" t="str">
        <x:v>技术栈与版本差异较大；性能、安全和数据质量结论必须由实际环境验证。</x:v>
      </x:c>
      <x:c r="R44" s="21" t="str">
        <x:v>说明已核验</x:v>
      </x:c>
      <x:c r="S44" s="21" t="str">
        <x:v>中</x:v>
      </x:c>
      <x:c r="T44" s="20" t="n">
        <x:v>38534</x:v>
      </x:c>
      <x:c r="U44" s="20" t="str">
        <x:v>2026-08-05</x:v>
      </x:c>
      <x:c r="V44" s="18" t="str">
        <x:v>MIT</x:v>
      </x:c>
    </x:row>
    <x:row r="45" ht="58" customHeight="1">
      <x:c r="A45" s="20" t="n">
        <x:v>41</x:v>
      </x:c>
      <x:c r="B45" s="20" t="str">
        <x:v>GH-05-0041</x:v>
      </x:c>
      <x:c r="C45" s="19" t="str">
        <x:v>python-error-handling</x:v>
      </x:c>
      <x:c r="D45" s="19" t="str">
        <x:v>Python 错误处理</x:v>
      </x:c>
      <x:c r="E45" s="19" t="str">
        <x:v>设计明确异常类型、上下文保留、部分失败和恢复策略，避免吞错。</x:v>
      </x:c>
      <x:c r="F45" s="19" t="str">
        <x:v>https://github.com/wshobson/agents/blob/main/plugins/python-development/skills/python-error-handling/SKILL.md</x:v>
      </x:c>
      <x:c r="G45" s="19" t="str">
        <x:v>wshobson/agents</x:v>
      </x:c>
      <x:c r="H45" s="19" t="str">
        <x:v>https://github.com/wshobson/agents</x:v>
      </x:c>
      <x:c r="I45" s="19" t="str">
        <x:v>多智能体生态（Codex、Claude Code、Cursor、Gemini CLI 等）</x:v>
      </x:c>
      <x:c r="J45" s="19" t="str">
        <x:v>社区 skill、GitHub 开源仓库</x:v>
      </x:c>
      <x:c r="K45" s="19" t="str">
        <x:v>异常、上下文、部分失败、日志、恢复</x:v>
      </x:c>
      <x:c r="L45" s="19" t="str">
        <x:v>学生、教师、数据工程与开发人员</x:v>
      </x:c>
      <x:c r="M45" s="19" t="str">
        <x:v>教学项目、数据平台、数据库、Python/JavaScript 工程和 MLOps</x:v>
      </x:c>
      <x:c r="N45" s="21" t="str">
        <x:v>B</x:v>
      </x:c>
      <x:c r="O45" s="19" t="str">
        <x:v>抽取单一 skill 并替换 Claude 插件路由；保留与现有工具链相匹配的章节。</x:v>
      </x:c>
      <x:c r="P45" s="19" t="str">
        <x:v>对应语言、数据库或数据平台；部分流程需要云服务或测试框架</x:v>
      </x:c>
      <x:c r="Q45" s="19" t="str">
        <x:v>技术栈与版本差异较大；性能、安全和数据质量结论必须由实际环境验证。</x:v>
      </x:c>
      <x:c r="R45" s="21" t="str">
        <x:v>二级包内容验证</x:v>
      </x:c>
      <x:c r="S45" s="21" t="str">
        <x:v>中</x:v>
      </x:c>
      <x:c r="T45" s="20" t="n">
        <x:v>38534</x:v>
      </x:c>
      <x:c r="U45" s="20" t="str">
        <x:v>2026-08-05</x:v>
      </x:c>
      <x:c r="V45" s="18" t="str">
        <x:v>MIT</x:v>
      </x:c>
    </x:row>
    <x:row r="46" ht="58" customHeight="1">
      <x:c r="A46" s="20" t="n">
        <x:v>42</x:v>
      </x:c>
      <x:c r="B46" s="20" t="str">
        <x:v>GH-05-0042</x:v>
      </x:c>
      <x:c r="C46" s="19" t="str">
        <x:v>python-project-structure</x:v>
      </x:c>
      <x:c r="D46" s="19" t="str">
        <x:v>Python 项目结构</x:v>
      </x:c>
      <x:c r="E46" s="19" t="str">
        <x:v>按内聚模块、显式接口和一致约定组织可测试、可维护的 Python 项目。</x:v>
      </x:c>
      <x:c r="F46" s="19" t="str">
        <x:v>https://github.com/wshobson/agents/blob/main/plugins/python-development/skills/python-project-structure/SKILL.md</x:v>
      </x:c>
      <x:c r="G46" s="19" t="str">
        <x:v>wshobson/agents</x:v>
      </x:c>
      <x:c r="H46" s="19" t="str">
        <x:v>https://github.com/wshobson/agents</x:v>
      </x:c>
      <x:c r="I46" s="19" t="str">
        <x:v>多智能体生态（Codex、Claude Code、Cursor、Gemini CLI 等）</x:v>
      </x:c>
      <x:c r="J46" s="19" t="str">
        <x:v>社区 skill、GitHub 开源仓库</x:v>
      </x:c>
      <x:c r="K46" s="19" t="str">
        <x:v>Python、模块、包、接口、项目架构</x:v>
      </x:c>
      <x:c r="L46" s="19" t="str">
        <x:v>学生、教师、数据工程与开发人员</x:v>
      </x:c>
      <x:c r="M46" s="19" t="str">
        <x:v>教学项目、数据平台、数据库、Python/JavaScript 工程和 MLOps</x:v>
      </x:c>
      <x:c r="N46" s="21" t="str">
        <x:v>B</x:v>
      </x:c>
      <x:c r="O46" s="19" t="str">
        <x:v>抽取单一 skill 并替换 Claude 插件路由；保留与现有工具链相匹配的章节。</x:v>
      </x:c>
      <x:c r="P46" s="19" t="str">
        <x:v>对应语言、数据库或数据平台；部分流程需要云服务或测试框架</x:v>
      </x:c>
      <x:c r="Q46" s="19" t="str">
        <x:v>技术栈与版本差异较大；性能、安全和数据质量结论必须由实际环境验证。</x:v>
      </x:c>
      <x:c r="R46" s="21" t="str">
        <x:v>说明已核验</x:v>
      </x:c>
      <x:c r="S46" s="21" t="str">
        <x:v>中</x:v>
      </x:c>
      <x:c r="T46" s="20" t="n">
        <x:v>38534</x:v>
      </x:c>
      <x:c r="U46" s="20" t="str">
        <x:v>2026-08-05</x:v>
      </x:c>
      <x:c r="V46" s="18" t="str">
        <x:v>MIT</x:v>
      </x:c>
    </x:row>
    <x:row r="47" ht="58" customHeight="1">
      <x:c r="A47" s="20" t="n">
        <x:v>43</x:v>
      </x:c>
      <x:c r="B47" s="20" t="str">
        <x:v>GH-05-0043</x:v>
      </x:c>
      <x:c r="C47" s="19" t="str">
        <x:v>python-performance-optimization</x:v>
      </x:c>
      <x:c r="D47" s="19" t="str">
        <x:v>Python 性能分析与优化</x:v>
      </x:c>
      <x:c r="E47" s="19" t="str">
        <x:v>先建立基准并定位 CPU、内存或 I/O 瓶颈，再选择针对性优化手段。</x:v>
      </x:c>
      <x:c r="F47" s="19" t="str">
        <x:v>https://github.com/wshobson/agents/blob/main/plugins/python-development/skills/python-performance-optimization/SKILL.md</x:v>
      </x:c>
      <x:c r="G47" s="19" t="str">
        <x:v>wshobson/agents</x:v>
      </x:c>
      <x:c r="H47" s="19" t="str">
        <x:v>https://github.com/wshobson/agents</x:v>
      </x:c>
      <x:c r="I47" s="19" t="str">
        <x:v>多智能体生态（Codex、Claude Code、Cursor、Gemini CLI 等）</x:v>
      </x:c>
      <x:c r="J47" s="19" t="str">
        <x:v>社区 skill、GitHub 开源仓库</x:v>
      </x:c>
      <x:c r="K47" s="19" t="str">
        <x:v>Python、profiling、基准、内存、优化</x:v>
      </x:c>
      <x:c r="L47" s="19" t="str">
        <x:v>学生、教师、数据工程与开发人员</x:v>
      </x:c>
      <x:c r="M47" s="19" t="str">
        <x:v>教学项目、数据平台、数据库、Python/JavaScript 工程和 MLOps</x:v>
      </x:c>
      <x:c r="N47" s="21" t="str">
        <x:v>B</x:v>
      </x:c>
      <x:c r="O47" s="19" t="str">
        <x:v>抽取单一 skill 并替换 Claude 插件路由；保留与现有工具链相匹配的章节。</x:v>
      </x:c>
      <x:c r="P47" s="19" t="str">
        <x:v>对应语言、数据库或数据平台；部分流程需要云服务或测试框架</x:v>
      </x:c>
      <x:c r="Q47" s="19" t="str">
        <x:v>技术栈与版本差异较大；性能、安全和数据质量结论必须由实际环境验证。</x:v>
      </x:c>
      <x:c r="R47" s="21" t="str">
        <x:v>二级包内容验证</x:v>
      </x:c>
      <x:c r="S47" s="21" t="str">
        <x:v>中</x:v>
      </x:c>
      <x:c r="T47" s="20" t="n">
        <x:v>38534</x:v>
      </x:c>
      <x:c r="U47" s="20" t="str">
        <x:v>2026-08-05</x:v>
      </x:c>
      <x:c r="V47" s="18" t="str">
        <x:v>MIT</x:v>
      </x:c>
    </x:row>
    <x:row r="48" ht="58" customHeight="1">
      <x:c r="A48" s="20" t="n">
        <x:v>44</x:v>
      </x:c>
      <x:c r="B48" s="20" t="str">
        <x:v>GH-05-0044</x:v>
      </x:c>
      <x:c r="C48" s="19" t="str">
        <x:v>async-python-patterns</x:v>
      </x:c>
      <x:c r="D48" s="19" t="str">
        <x:v>Python 异步编程模式</x:v>
      </x:c>
      <x:c r="E48" s="19" t="str">
        <x:v>判断同步与异步适用边界，并正确处理任务、取消、超时和资源生命周期。</x:v>
      </x:c>
      <x:c r="F48" s="19" t="str">
        <x:v>https://github.com/wshobson/agents/blob/main/plugins/python-development/skills/async-python-patterns/SKILL.md</x:v>
      </x:c>
      <x:c r="G48" s="19" t="str">
        <x:v>wshobson/agents</x:v>
      </x:c>
      <x:c r="H48" s="19" t="str">
        <x:v>https://github.com/wshobson/agents</x:v>
      </x:c>
      <x:c r="I48" s="19" t="str">
        <x:v>多智能体生态（Codex、Claude Code、Cursor、Gemini CLI 等）</x:v>
      </x:c>
      <x:c r="J48" s="19" t="str">
        <x:v>社区 skill、GitHub 开源仓库</x:v>
      </x:c>
      <x:c r="K48" s="19" t="str">
        <x:v>asyncio、并发、任务、取消、超时</x:v>
      </x:c>
      <x:c r="L48" s="19" t="str">
        <x:v>学生、教师、数据工程与开发人员</x:v>
      </x:c>
      <x:c r="M48" s="19" t="str">
        <x:v>教学项目、数据平台、数据库、Python/JavaScript 工程和 MLOps</x:v>
      </x:c>
      <x:c r="N48" s="21" t="str">
        <x:v>B</x:v>
      </x:c>
      <x:c r="O48" s="19" t="str">
        <x:v>抽取单一 skill 并替换 Claude 插件路由；保留与现有工具链相匹配的章节。</x:v>
      </x:c>
      <x:c r="P48" s="19" t="str">
        <x:v>对应语言、数据库或数据平台；部分流程需要云服务或测试框架</x:v>
      </x:c>
      <x:c r="Q48" s="19" t="str">
        <x:v>技术栈与版本差异较大；性能、安全和数据质量结论必须由实际环境验证。</x:v>
      </x:c>
      <x:c r="R48" s="21" t="str">
        <x:v>二级包内容验证</x:v>
      </x:c>
      <x:c r="S48" s="21" t="str">
        <x:v>中</x:v>
      </x:c>
      <x:c r="T48" s="20" t="n">
        <x:v>38534</x:v>
      </x:c>
      <x:c r="U48" s="20" t="str">
        <x:v>2026-08-05</x:v>
      </x:c>
      <x:c r="V48" s="18" t="str">
        <x:v>MIT</x:v>
      </x:c>
    </x:row>
    <x:row r="49" ht="58" customHeight="1">
      <x:c r="A49" s="20" t="n">
        <x:v>45</x:v>
      </x:c>
      <x:c r="B49" s="20" t="str">
        <x:v>GH-05-0045</x:v>
      </x:c>
      <x:c r="C49" s="19" t="str">
        <x:v>javascript-testing-patterns</x:v>
      </x:c>
      <x:c r="D49" s="19" t="str">
        <x:v>JavaScript/TypeScript 测试模式</x:v>
      </x:c>
      <x:c r="E49" s="19" t="str">
        <x:v>使用 Jest、Vitest 等工具组织单元、集成和端到端测试及常见测试模式。</x:v>
      </x:c>
      <x:c r="F49" s="19" t="str">
        <x:v>https://github.com/wshobson/agents/blob/main/plugins/javascript-typescript/skills/javascript-testing-patterns/SKILL.md</x:v>
      </x:c>
      <x:c r="G49" s="19" t="str">
        <x:v>wshobson/agents</x:v>
      </x:c>
      <x:c r="H49" s="19" t="str">
        <x:v>https://github.com/wshobson/agents</x:v>
      </x:c>
      <x:c r="I49" s="19" t="str">
        <x:v>多智能体生态（Codex、Claude Code、Cursor、Gemini CLI 等）</x:v>
      </x:c>
      <x:c r="J49" s="19" t="str">
        <x:v>社区 skill、GitHub 开源仓库</x:v>
      </x:c>
      <x:c r="K49" s="19" t="str">
        <x:v>JavaScript、TypeScript、Jest、Vitest、端到端测试</x:v>
      </x:c>
      <x:c r="L49" s="19" t="str">
        <x:v>学生、教师、数据工程与开发人员</x:v>
      </x:c>
      <x:c r="M49" s="19" t="str">
        <x:v>教学项目、数据平台、数据库、Python/JavaScript 工程和 MLOps</x:v>
      </x:c>
      <x:c r="N49" s="21" t="str">
        <x:v>B</x:v>
      </x:c>
      <x:c r="O49" s="19" t="str">
        <x:v>抽取单一 skill 并替换 Claude 插件路由；保留与现有工具链相匹配的章节。</x:v>
      </x:c>
      <x:c r="P49" s="19" t="str">
        <x:v>对应语言、数据库或数据平台；部分流程需要云服务或测试框架</x:v>
      </x:c>
      <x:c r="Q49" s="19" t="str">
        <x:v>技术栈与版本差异较大；性能、安全和数据质量结论必须由实际环境验证。</x:v>
      </x:c>
      <x:c r="R49" s="21" t="str">
        <x:v>二级包内容验证</x:v>
      </x:c>
      <x:c r="S49" s="21" t="str">
        <x:v>中</x:v>
      </x:c>
      <x:c r="T49" s="20" t="n">
        <x:v>38534</x:v>
      </x:c>
      <x:c r="U49" s="20" t="str">
        <x:v>2026-08-05</x:v>
      </x:c>
      <x:c r="V49" s="18" t="str">
        <x:v>MIT</x:v>
      </x:c>
    </x:row>
    <x:row r="50" ht="58" customHeight="1">
      <x:c r="A50" s="20" t="n">
        <x:v>46</x:v>
      </x:c>
      <x:c r="B50" s="20" t="str">
        <x:v>GH-05-0046</x:v>
      </x:c>
      <x:c r="C50" s="19" t="str">
        <x:v>data-analytics</x:v>
      </x:c>
      <x:c r="D50" s="19" t="str">
        <x:v>数据分析架构图生成</x:v>
      </x:c>
      <x:c r="E50" s="19" t="str">
        <x:v>按照图形语法和分析/ETL 图元生成数据平台、管道和分析架构图。</x:v>
      </x:c>
      <x:c r="F50" s="19" t="str">
        <x:v>https://github.com/markdown-viewer/skills/blob/main/data-analytics/SKILL.md</x:v>
      </x:c>
      <x:c r="G50" s="19" t="str">
        <x:v>markdown-viewer/skills</x:v>
      </x:c>
      <x:c r="H50" s="19" t="str">
        <x:v>https://github.com/markdown-viewer/skills</x:v>
      </x:c>
      <x:c r="I50" s="19" t="str">
        <x:v>AI 编程智能体通用工作流</x:v>
      </x:c>
      <x:c r="J50" s="19" t="str">
        <x:v>社区 skill、GitHub 公开仓库（许可证待核）</x:v>
      </x:c>
      <x:c r="K50" s="19" t="str">
        <x:v>数据架构、ETL、数据库、mxGraph、图示</x:v>
      </x:c>
      <x:c r="L50" s="19" t="str">
        <x:v>学生、教师、科研与数据分析人员</x:v>
      </x:c>
      <x:c r="M50" s="19" t="str">
        <x:v>分析报告、课程讲义和技术文档中的图表或架构图</x:v>
      </x:c>
      <x:c r="N50" s="21" t="str">
        <x:v>B</x:v>
      </x:c>
      <x:c r="O50" s="19" t="str">
        <x:v>保留输出语法约束，将渲染器替换为项目支持的 Markdown、Vega 或 Graphviz 工具。</x:v>
      </x:c>
      <x:c r="P50" s="19" t="str">
        <x:v>相应图形渲染器或支持的 Markdown 查看器</x:v>
      </x:c>
      <x:c r="Q50" s="19" t="str">
        <x:v>仓库许可证未明确；语法正确不保证数据表达诚实，必须复核来源与尺度。 仓库许可证未明确或无法由 GitHub 自动识别，采用前需单独核验。</x:v>
      </x:c>
      <x:c r="R50" s="21" t="str">
        <x:v>二级包内容验证</x:v>
      </x:c>
      <x:c r="S50" s="21" t="str">
        <x:v>中</x:v>
      </x:c>
      <x:c r="T50" s="20" t="n">
        <x:v>3116</x:v>
      </x:c>
      <x:c r="U50" s="20" t="str">
        <x:v>2026-05-26</x:v>
      </x:c>
      <x:c r="V50" s="18" t="str">
        <x:v>未明确</x:v>
      </x:c>
    </x:row>
    <x:row r="51" ht="58" customHeight="1">
      <x:c r="A51" s="20" t="n">
        <x:v>47</x:v>
      </x:c>
      <x:c r="B51" s="20" t="str">
        <x:v>GH-05-0047</x:v>
      </x:c>
      <x:c r="C51" s="19" t="str">
        <x:v>vega</x:v>
      </x:c>
      <x:c r="D51" s="19" t="str">
        <x:v>Vega/Vega-Lite 图表生成</x:v>
      </x:c>
      <x:c r="E51" s="19" t="str">
        <x:v>依据字段类型和语法约束生成可渲染的 Vega 或 Vega-Lite JSON 可视化。</x:v>
      </x:c>
      <x:c r="F51" s="19" t="str">
        <x:v>https://github.com/markdown-viewer/skills/blob/main/vega/SKILL.md</x:v>
      </x:c>
      <x:c r="G51" s="19" t="str">
        <x:v>markdown-viewer/skills</x:v>
      </x:c>
      <x:c r="H51" s="19" t="str">
        <x:v>https://github.com/markdown-viewer/skills</x:v>
      </x:c>
      <x:c r="I51" s="19" t="str">
        <x:v>AI 编程智能体通用工作流</x:v>
      </x:c>
      <x:c r="J51" s="19" t="str">
        <x:v>社区 skill、GitHub 公开仓库（许可证待核）</x:v>
      </x:c>
      <x:c r="K51" s="19" t="str">
        <x:v>Vega、Vega-Lite、JSON、交互图表</x:v>
      </x:c>
      <x:c r="L51" s="19" t="str">
        <x:v>学生、教师、科研与数据分析人员</x:v>
      </x:c>
      <x:c r="M51" s="19" t="str">
        <x:v>分析报告、课程讲义和技术文档中的图表或架构图</x:v>
      </x:c>
      <x:c r="N51" s="21" t="str">
        <x:v>B</x:v>
      </x:c>
      <x:c r="O51" s="19" t="str">
        <x:v>保留输出语法约束，将渲染器替换为项目支持的 Markdown、Vega 或 Graphviz 工具。</x:v>
      </x:c>
      <x:c r="P51" s="19" t="str">
        <x:v>相应图形渲染器或支持的 Markdown 查看器</x:v>
      </x:c>
      <x:c r="Q51" s="19" t="str">
        <x:v>仓库许可证未明确；语法正确不保证数据表达诚实，必须复核来源与尺度。 仓库许可证未明确或无法由 GitHub 自动识别，采用前需单独核验。</x:v>
      </x:c>
      <x:c r="R51" s="21" t="str">
        <x:v>二级包内容验证</x:v>
      </x:c>
      <x:c r="S51" s="21" t="str">
        <x:v>中</x:v>
      </x:c>
      <x:c r="T51" s="20" t="n">
        <x:v>3116</x:v>
      </x:c>
      <x:c r="U51" s="20" t="str">
        <x:v>2026-05-26</x:v>
      </x:c>
      <x:c r="V51" s="18" t="str">
        <x:v>未明确</x:v>
      </x:c>
    </x:row>
    <x:row r="52" ht="58" customHeight="1">
      <x:c r="A52" s="20" t="n">
        <x:v>48</x:v>
      </x:c>
      <x:c r="B52" s="20" t="str">
        <x:v>GH-05-0048</x:v>
      </x:c>
      <x:c r="C52" s="19" t="str">
        <x:v>graphviz</x:v>
      </x:c>
      <x:c r="D52" s="19" t="str">
        <x:v>Graphviz DOT 图示</x:v>
      </x:c>
      <x:c r="E52" s="19" t="str">
        <x:v>用正确的 DOT、子图、标签和边语法生成流程、依赖与网络结构图。</x:v>
      </x:c>
      <x:c r="F52" s="19" t="str">
        <x:v>https://github.com/markdown-viewer/skills/blob/main/graphviz/SKILL.md</x:v>
      </x:c>
      <x:c r="G52" s="19" t="str">
        <x:v>markdown-viewer/skills</x:v>
      </x:c>
      <x:c r="H52" s="19" t="str">
        <x:v>https://github.com/markdown-viewer/skills</x:v>
      </x:c>
      <x:c r="I52" s="19" t="str">
        <x:v>AI 编程智能体通用工作流</x:v>
      </x:c>
      <x:c r="J52" s="19" t="str">
        <x:v>社区 skill、GitHub 公开仓库（许可证待核）</x:v>
      </x:c>
      <x:c r="K52" s="19" t="str">
        <x:v>Graphviz、DOT、关系图、流程图、布局</x:v>
      </x:c>
      <x:c r="L52" s="19" t="str">
        <x:v>学生、教师、科研与数据分析人员</x:v>
      </x:c>
      <x:c r="M52" s="19" t="str">
        <x:v>分析报告、课程讲义和技术文档中的图表或架构图</x:v>
      </x:c>
      <x:c r="N52" s="21" t="str">
        <x:v>B</x:v>
      </x:c>
      <x:c r="O52" s="19" t="str">
        <x:v>保留输出语法约束，将渲染器替换为项目支持的 Markdown、Vega 或 Graphviz 工具。</x:v>
      </x:c>
      <x:c r="P52" s="19" t="str">
        <x:v>相应图形渲染器或支持的 Markdown 查看器</x:v>
      </x:c>
      <x:c r="Q52" s="19" t="str">
        <x:v>仓库许可证未明确；语法正确不保证数据表达诚实，必须复核来源与尺度。 仓库许可证未明确或无法由 GitHub 自动识别，采用前需单独核验。</x:v>
      </x:c>
      <x:c r="R52" s="21" t="str">
        <x:v>二级包内容验证</x:v>
      </x:c>
      <x:c r="S52" s="21" t="str">
        <x:v>中</x:v>
      </x:c>
      <x:c r="T52" s="20" t="n">
        <x:v>3116</x:v>
      </x:c>
      <x:c r="U52" s="20" t="str">
        <x:v>2026-05-26</x:v>
      </x:c>
      <x:c r="V52" s="18" t="str">
        <x:v>未明确</x:v>
      </x:c>
    </x:row>
    <x:row r="53" ht="58" customHeight="1">
      <x:c r="A53" s="20" t="n">
        <x:v>49</x:v>
      </x:c>
      <x:c r="B53" s="20" t="str">
        <x:v>GH-05-0049</x:v>
      </x:c>
      <x:c r="C53" s="19" t="str">
        <x:v>lean-proof</x:v>
      </x:c>
      <x:c r="D53" s="19" t="str">
        <x:v>Lean 定理证明方法</x:v>
      </x:c>
      <x:c r="E53" s="19" t="str">
        <x:v>以小步验证和错误优先策略构造、调试并清理 Lean 形式化证明。</x:v>
      </x:c>
      <x:c r="F53" s="19" t="str">
        <x:v>https://github.com/leanprover/skills/blob/main/skills/lean-proof/SKILL.md</x:v>
      </x:c>
      <x:c r="G53" s="19" t="str">
        <x:v>leanprover/skills</x:v>
      </x:c>
      <x:c r="H53" s="19" t="str">
        <x:v>https://github.com/leanprover/skills</x:v>
      </x:c>
      <x:c r="I53" s="19" t="str">
        <x:v>Agent Skills（Lean 生态）</x:v>
      </x:c>
      <x:c r="J53" s="19" t="str">
        <x:v>社区 skill、GitHub 开源仓库</x:v>
      </x:c>
      <x:c r="K53" s="19" t="str">
        <x:v>Lean、形式化证明、定理、错误定位、mathlib</x:v>
      </x:c>
      <x:c r="L53" s="19" t="str">
        <x:v>数学、计算机专业学生与教师、形式化方法研究人员</x:v>
      </x:c>
      <x:c r="M53" s="19" t="str">
        <x:v>Lean 课程、形式化证明、mathlib 贡献与代码审查</x:v>
      </x:c>
      <x:c r="N53" s="21" t="str">
        <x:v>B</x:v>
      </x:c>
      <x:c r="O53" s="19" t="str">
        <x:v>对接本校 Lean/mathlib 版本和构建命令，所有证明以实际编译通过为准。</x:v>
      </x:c>
      <x:c r="P53" s="19" t="str">
        <x:v>Lean 工具链、mathlib 与项目构建环境</x:v>
      </x:c>
      <x:c r="Q53" s="19" t="str">
        <x:v>本轮未编译证明；版本和导入差异会影响结论。</x:v>
      </x:c>
      <x:c r="R53" s="21" t="str">
        <x:v>二级包内容验证</x:v>
      </x:c>
      <x:c r="S53" s="21" t="str">
        <x:v>中</x:v>
      </x:c>
      <x:c r="T53" s="20" t="n">
        <x:v>61</x:v>
      </x:c>
      <x:c r="U53" s="20" t="str">
        <x:v>2026-02-25</x:v>
      </x:c>
      <x:c r="V53" s="18" t="str">
        <x:v>Apache-2.0</x:v>
      </x:c>
    </x:row>
    <x:row r="54" ht="58" customHeight="1">
      <x:c r="A54" s="20" t="n">
        <x:v>50</x:v>
      </x:c>
      <x:c r="B54" s="20" t="str">
        <x:v>GH-05-0050</x:v>
      </x:c>
      <x:c r="C54" s="19" t="str">
        <x:v>mathlib-review</x:v>
      </x:c>
      <x:c r="D54" s="19" t="str">
        <x:v>Mathlib 代码审查</x:v>
      </x:c>
      <x:c r="E54" s="19" t="str">
        <x:v>依据 mathlib 的属性、API 和风格要求审查形式化数学贡献。</x:v>
      </x:c>
      <x:c r="F54" s="19" t="str">
        <x:v>https://github.com/leanprover/skills/blob/main/skills/mathlib-review/SKILL.md</x:v>
      </x:c>
      <x:c r="G54" s="19" t="str">
        <x:v>leanprover/skills</x:v>
      </x:c>
      <x:c r="H54" s="19" t="str">
        <x:v>https://github.com/leanprover/skills</x:v>
      </x:c>
      <x:c r="I54" s="19" t="str">
        <x:v>Agent Skills（Lean 生态）</x:v>
      </x:c>
      <x:c r="J54" s="19" t="str">
        <x:v>社区 skill、GitHub 开源仓库</x:v>
      </x:c>
      <x:c r="K54" s="19" t="str">
        <x:v>Lean、mathlib、PR 审查、API、风格</x:v>
      </x:c>
      <x:c r="L54" s="19" t="str">
        <x:v>数学、计算机专业学生与教师、形式化方法研究人员</x:v>
      </x:c>
      <x:c r="M54" s="19" t="str">
        <x:v>Lean 课程、形式化证明、mathlib 贡献与代码审查</x:v>
      </x:c>
      <x:c r="N54" s="21" t="str">
        <x:v>B</x:v>
      </x:c>
      <x:c r="O54" s="19" t="str">
        <x:v>对接本校 Lean/mathlib 版本和构建命令，所有证明以实际编译通过为准。</x:v>
      </x:c>
      <x:c r="P54" s="19" t="str">
        <x:v>Lean 工具链、mathlib 与项目构建环境</x:v>
      </x:c>
      <x:c r="Q54" s="19" t="str">
        <x:v>本轮未编译证明；版本和导入差异会影响结论。</x:v>
      </x:c>
      <x:c r="R54" s="21" t="str">
        <x:v>说明已核验</x:v>
      </x:c>
      <x:c r="S54" s="21" t="str">
        <x:v>中</x:v>
      </x:c>
      <x:c r="T54" s="20" t="n">
        <x:v>61</x:v>
      </x:c>
      <x:c r="U54" s="20" t="str">
        <x:v>2026-02-25</x:v>
      </x:c>
      <x:c r="V54" s="18" t="str">
        <x:v>Apache-2.0</x:v>
      </x:c>
    </x:row>
    <x:row r="55" ht="58" customHeight="1">
      <x:c r="A55" s="20" t="n">
        <x:v>51</x:v>
      </x:c>
      <x:c r="B55" s="20" t="str">
        <x:v>GH-05-0051</x:v>
      </x:c>
      <x:c r="C55" s="19" t="str">
        <x:v>bayesian-reasoning-calibration</x:v>
      </x:c>
      <x:c r="D55" s="19" t="str">
        <x:v>贝叶斯推理与概率校准</x:v>
      </x:c>
      <x:c r="E55" s="19" t="str">
        <x:v>显式记录先验和新证据的似然，更新概率判断并校准决策信心。</x:v>
      </x:c>
      <x:c r="F55" s="19" t="str">
        <x:v>https://github.com/lyndonkl/claude/blob/main/skills/bayesian-reasoning-calibration/SKILL.md</x:v>
      </x:c>
      <x:c r="G55" s="19" t="str">
        <x:v>lyndonkl/claude</x:v>
      </x:c>
      <x:c r="H55" s="19" t="str">
        <x:v>https://github.com/lyndonkl/claude</x:v>
      </x:c>
      <x:c r="I55" s="19" t="str">
        <x:v>Anthropic Claude Code / 可移植工作流</x:v>
      </x:c>
      <x:c r="J55" s="19" t="str">
        <x:v>社区 skill、GitHub 公开仓库（许可证待核）</x:v>
      </x:c>
      <x:c r="K55" s="19" t="str">
        <x:v>贝叶斯、先验、似然、概率、决策</x:v>
      </x:c>
      <x:c r="L55" s="19" t="str">
        <x:v>学生、教师、科研与数据分析人员</x:v>
      </x:c>
      <x:c r="M55" s="19" t="str">
        <x:v>实验设计、因果与贝叶斯推理、可视化选择和交互图表</x:v>
      </x:c>
      <x:c r="N55" s="21" t="str">
        <x:v>B</x:v>
      </x:c>
      <x:c r="O55" s="19" t="str">
        <x:v>将 Claude 专用调用替换为 Codex 可用工具，并补充学科统计假设和验证门。</x:v>
      </x:c>
      <x:c r="P55" s="19" t="str">
        <x:v>按任务可能需要统计软件、D3.js 或浏览器环境</x:v>
      </x:c>
      <x:c r="Q55" s="19" t="str">
        <x:v>仓库许可证未明确；方法模板不能代替数据诊断、因果识别条件或真实运行验证。 仓库许可证未明确或无法由 GitHub 自动识别，采用前需单独核验。</x:v>
      </x:c>
      <x:c r="R55" s="21" t="str">
        <x:v>二级包内容验证</x:v>
      </x:c>
      <x:c r="S55" s="21" t="str">
        <x:v>中</x:v>
      </x:c>
      <x:c r="T55" s="20" t="n">
        <x:v>141</x:v>
      </x:c>
      <x:c r="U55" s="20" t="str">
        <x:v>2026-08-04</x:v>
      </x:c>
      <x:c r="V55" s="18" t="str">
        <x:v>未明确</x:v>
      </x:c>
    </x:row>
    <x:row r="56" ht="58" customHeight="1">
      <x:c r="A56" s="20" t="n">
        <x:v>52</x:v>
      </x:c>
      <x:c r="B56" s="20" t="str">
        <x:v>GH-05-0052</x:v>
      </x:c>
      <x:c r="C56" s="19" t="str">
        <x:v>causal-inference-root-cause</x:v>
      </x:c>
      <x:c r="D56" s="19" t="str">
        <x:v>因果推断与根因分析</x:v>
      </x:c>
      <x:c r="E56" s="19" t="str">
        <x:v>提出竞争性因果假设，利用反事实与可区分检验寻找更可信的根因。</x:v>
      </x:c>
      <x:c r="F56" s="19" t="str">
        <x:v>https://github.com/lyndonkl/claude/blob/main/skills/causal-inference-root-cause/SKILL.md</x:v>
      </x:c>
      <x:c r="G56" s="19" t="str">
        <x:v>lyndonkl/claude</x:v>
      </x:c>
      <x:c r="H56" s="19" t="str">
        <x:v>https://github.com/lyndonkl/claude</x:v>
      </x:c>
      <x:c r="I56" s="19" t="str">
        <x:v>Anthropic Claude Code / 可移植工作流</x:v>
      </x:c>
      <x:c r="J56" s="19" t="str">
        <x:v>社区 skill、GitHub 公开仓库（许可证待核）</x:v>
      </x:c>
      <x:c r="K56" s="19" t="str">
        <x:v>因果推断、反事实、假设、根因、实验</x:v>
      </x:c>
      <x:c r="L56" s="19" t="str">
        <x:v>学生、教师、科研与数据分析人员</x:v>
      </x:c>
      <x:c r="M56" s="19" t="str">
        <x:v>实验设计、因果与贝叶斯推理、可视化选择和交互图表</x:v>
      </x:c>
      <x:c r="N56" s="21" t="str">
        <x:v>B</x:v>
      </x:c>
      <x:c r="O56" s="19" t="str">
        <x:v>将 Claude 专用调用替换为 Codex 可用工具，并补充学科统计假设和验证门。</x:v>
      </x:c>
      <x:c r="P56" s="19" t="str">
        <x:v>按任务可能需要统计软件、D3.js 或浏览器环境</x:v>
      </x:c>
      <x:c r="Q56" s="19" t="str">
        <x:v>仓库许可证未明确；方法模板不能代替数据诊断、因果识别条件或真实运行验证。 仓库许可证未明确或无法由 GitHub 自动识别，采用前需单独核验。</x:v>
      </x:c>
      <x:c r="R56" s="21" t="str">
        <x:v>二级包内容验证</x:v>
      </x:c>
      <x:c r="S56" s="21" t="str">
        <x:v>中</x:v>
      </x:c>
      <x:c r="T56" s="20" t="n">
        <x:v>141</x:v>
      </x:c>
      <x:c r="U56" s="20" t="str">
        <x:v>2026-08-04</x:v>
      </x:c>
      <x:c r="V56" s="18" t="str">
        <x:v>未明确</x:v>
      </x:c>
    </x:row>
    <x:row r="57" ht="58" customHeight="1">
      <x:c r="A57" s="20" t="n">
        <x:v>53</x:v>
      </x:c>
      <x:c r="B57" s="20" t="str">
        <x:v>GH-05-0053</x:v>
      </x:c>
      <x:c r="C57" s="19" t="str">
        <x:v>design-of-experiments</x:v>
      </x:c>
      <x:c r="D57" s="19" t="str">
        <x:v>实验设计</x:v>
      </x:c>
      <x:c r="E57" s="19" t="str">
        <x:v>把研究问题转化为因素、处理、对照、随机化和预先分析计划。</x:v>
      </x:c>
      <x:c r="F57" s="19" t="str">
        <x:v>https://github.com/lyndonkl/claude/blob/main/skills/design-of-experiments/SKILL.md</x:v>
      </x:c>
      <x:c r="G57" s="19" t="str">
        <x:v>lyndonkl/claude</x:v>
      </x:c>
      <x:c r="H57" s="19" t="str">
        <x:v>https://github.com/lyndonkl/claude</x:v>
      </x:c>
      <x:c r="I57" s="19" t="str">
        <x:v>Anthropic Claude Code / 可移植工作流</x:v>
      </x:c>
      <x:c r="J57" s="19" t="str">
        <x:v>社区 skill、GitHub 公开仓库（许可证待核）</x:v>
      </x:c>
      <x:c r="K57" s="19" t="str">
        <x:v>实验设计、随机化、对照、功效、分析计划</x:v>
      </x:c>
      <x:c r="L57" s="19" t="str">
        <x:v>学生、教师、科研与数据分析人员</x:v>
      </x:c>
      <x:c r="M57" s="19" t="str">
        <x:v>实验设计、因果与贝叶斯推理、可视化选择和交互图表</x:v>
      </x:c>
      <x:c r="N57" s="21" t="str">
        <x:v>B</x:v>
      </x:c>
      <x:c r="O57" s="19" t="str">
        <x:v>将 Claude 专用调用替换为 Codex 可用工具，并补充学科统计假设和验证门。</x:v>
      </x:c>
      <x:c r="P57" s="19" t="str">
        <x:v>按任务可能需要统计软件、D3.js 或浏览器环境</x:v>
      </x:c>
      <x:c r="Q57" s="19" t="str">
        <x:v>仓库许可证未明确；方法模板不能代替数据诊断、因果识别条件或真实运行验证。 仓库许可证未明确或无法由 GitHub 自动识别，采用前需单独核验。</x:v>
      </x:c>
      <x:c r="R57" s="21" t="str">
        <x:v>二级包内容验证</x:v>
      </x:c>
      <x:c r="S57" s="21" t="str">
        <x:v>中</x:v>
      </x:c>
      <x:c r="T57" s="20" t="n">
        <x:v>141</x:v>
      </x:c>
      <x:c r="U57" s="20" t="str">
        <x:v>2026-08-04</x:v>
      </x:c>
      <x:c r="V57" s="18" t="str">
        <x:v>未明确</x:v>
      </x:c>
    </x:row>
    <x:row r="58" ht="58" customHeight="1">
      <x:c r="A58" s="20" t="n">
        <x:v>54</x:v>
      </x:c>
      <x:c r="B58" s="20" t="str">
        <x:v>GH-05-0054</x:v>
      </x:c>
      <x:c r="C58" s="19" t="str">
        <x:v>visualization-choice-reporting</x:v>
      </x:c>
      <x:c r="D58" s="19" t="str">
        <x:v>可视化选择与结果报告</x:v>
      </x:c>
      <x:c r="E58" s="19" t="str">
        <x:v>根据问题和数据类型选择图表，完成设计检查、叙事组织和误导风险审计。</x:v>
      </x:c>
      <x:c r="F58" s="19" t="str">
        <x:v>https://github.com/lyndonkl/claude/blob/main/skills/visualization-choice-reporting/SKILL.md</x:v>
      </x:c>
      <x:c r="G58" s="19" t="str">
        <x:v>lyndonkl/claude</x:v>
      </x:c>
      <x:c r="H58" s="19" t="str">
        <x:v>https://github.com/lyndonkl/claude</x:v>
      </x:c>
      <x:c r="I58" s="19" t="str">
        <x:v>Anthropic Claude Code / 可移植工作流</x:v>
      </x:c>
      <x:c r="J58" s="19" t="str">
        <x:v>社区 skill、GitHub 公开仓库（许可证待核）</x:v>
      </x:c>
      <x:c r="K58" s="19" t="str">
        <x:v>图表选择、数据类型、叙事、报告、误导防范</x:v>
      </x:c>
      <x:c r="L58" s="19" t="str">
        <x:v>学生、教师、科研与数据分析人员</x:v>
      </x:c>
      <x:c r="M58" s="19" t="str">
        <x:v>实验设计、因果与贝叶斯推理、可视化选择和交互图表</x:v>
      </x:c>
      <x:c r="N58" s="21" t="str">
        <x:v>B</x:v>
      </x:c>
      <x:c r="O58" s="19" t="str">
        <x:v>将 Claude 专用调用替换为 Codex 可用工具，并补充学科统计假设和验证门。</x:v>
      </x:c>
      <x:c r="P58" s="19" t="str">
        <x:v>按任务可能需要统计软件、D3.js 或浏览器环境</x:v>
      </x:c>
      <x:c r="Q58" s="19" t="str">
        <x:v>仓库许可证未明确；方法模板不能代替数据诊断、因果识别条件或真实运行验证。 仓库许可证未明确或无法由 GitHub 自动识别，采用前需单独核验。</x:v>
      </x:c>
      <x:c r="R58" s="21" t="str">
        <x:v>二级包内容验证</x:v>
      </x:c>
      <x:c r="S58" s="21" t="str">
        <x:v>高</x:v>
      </x:c>
      <x:c r="T58" s="20" t="n">
        <x:v>141</x:v>
      </x:c>
      <x:c r="U58" s="20" t="str">
        <x:v>2026-08-04</x:v>
      </x:c>
      <x:c r="V58" s="18" t="str">
        <x:v>未明确</x:v>
      </x:c>
    </x:row>
    <x:row r="59" ht="58" customHeight="1">
      <x:c r="A59" s="20" t="n">
        <x:v>55</x:v>
      </x:c>
      <x:c r="B59" s="20" t="str">
        <x:v>GH-05-0055</x:v>
      </x:c>
      <x:c r="C59" s="19" t="str">
        <x:v>d3-visualization</x:v>
      </x:c>
      <x:c r="D59" s="19" t="str">
        <x:v>D3.js 交互可视化</x:v>
      </x:c>
      <x:c r="E59" s="19" t="str">
        <x:v>用数据绑定、比例尺、轴、过渡和布局创建可复用的交互式 Web 可视化。</x:v>
      </x:c>
      <x:c r="F59" s="19" t="str">
        <x:v>https://github.com/lyndonkl/claude/blob/main/skills/d3-visualization/SKILL.md</x:v>
      </x:c>
      <x:c r="G59" s="19" t="str">
        <x:v>lyndonkl/claude</x:v>
      </x:c>
      <x:c r="H59" s="19" t="str">
        <x:v>https://github.com/lyndonkl/claude</x:v>
      </x:c>
      <x:c r="I59" s="19" t="str">
        <x:v>Anthropic Claude Code / 可移植工作流</x:v>
      </x:c>
      <x:c r="J59" s="19" t="str">
        <x:v>社区 skill、GitHub 公开仓库（许可证待核）</x:v>
      </x:c>
      <x:c r="K59" s="19" t="str">
        <x:v>D3.js、SVG、交互、布局、数据绑定</x:v>
      </x:c>
      <x:c r="L59" s="19" t="str">
        <x:v>学生、教师、科研与数据分析人员</x:v>
      </x:c>
      <x:c r="M59" s="19" t="str">
        <x:v>实验设计、因果与贝叶斯推理、可视化选择和交互图表</x:v>
      </x:c>
      <x:c r="N59" s="21" t="str">
        <x:v>B</x:v>
      </x:c>
      <x:c r="O59" s="19" t="str">
        <x:v>将 Claude 专用调用替换为 Codex 可用工具，并补充学科统计假设和验证门。</x:v>
      </x:c>
      <x:c r="P59" s="19" t="str">
        <x:v>按任务可能需要统计软件、D3.js 或浏览器环境</x:v>
      </x:c>
      <x:c r="Q59" s="19" t="str">
        <x:v>仓库许可证未明确；方法模板不能代替数据诊断、因果识别条件或真实运行验证。 仓库许可证未明确或无法由 GitHub 自动识别，采用前需单独核验。</x:v>
      </x:c>
      <x:c r="R59" s="21" t="str">
        <x:v>二级包内容验证</x:v>
      </x:c>
      <x:c r="S59" s="21" t="str">
        <x:v>中</x:v>
      </x:c>
      <x:c r="T59" s="20" t="n">
        <x:v>141</x:v>
      </x:c>
      <x:c r="U59" s="20" t="str">
        <x:v>2026-08-04</x:v>
      </x:c>
      <x:c r="V59" s="18" t="str">
        <x:v>未明确</x:v>
      </x:c>
    </x:row>
  </x:sheetData>
  <x:mergeCells>
    <x:mergeCell ref="A1:V1"/>
    <x:mergeCell ref="A2:V2"/>
  </x:mergeCells>
  <x:conditionalFormatting sqref="N5:N59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</x:conditionalFormatting>
  <x:conditionalFormatting sqref="S5:S59">
    <x:cfRule type="cellIs" dxfId="3" priority="4" operator="equal">
      <x:formula>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088fce7b0a4c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6" max="6" width="60" hidden="0" customWidth="1"/>
    <x:col min="7" max="7" width="12" hidden="0" customWidth="1"/>
  </x:cols>
  <x:sheetData>
    <x:row r="1">
      <x:c r="A1" s="16" t="str">
        <x:v>编程、数学、数据分析和可视化｜结构统计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3">
      <x:c r="A3" s="9" t="str">
        <x:v>核心指标</x:v>
      </x:c>
      <x:c r="B3" s="9" t="str">
        <x:v>数量</x:v>
      </x:c>
      <x:c r="F3" s="15" t="str">
        <x:v>独立标注的生态</x:v>
      </x:c>
      <x:c r="G3" s="15" t="str">
        <x:v>数量</x:v>
      </x:c>
    </x:row>
    <x:row r="4">
      <x:c r="A4" s="10" t="str">
        <x:v>入选Skill</x:v>
      </x:c>
      <x:c r="B4" s="22" t="n">
        <x:f>COUNTA('Skill总表'!$B$5:$B$59)</x:f>
        <x:v>55</x:v>
      </x:c>
      <x:c r="F4" s="13" t="str">
        <x:v>AI 编程智能体通用工作流</x:v>
      </x:c>
      <x:c r="G4" s="25" t="n">
        <x:f>COUNTIF('Skill总表'!$I$5:$I$59,F4)</x:f>
        <x:v>3</x:v>
      </x:c>
    </x:row>
    <x:row r="5">
      <x:c r="A5" s="10" t="str">
        <x:v>优先级：高</x:v>
      </x:c>
      <x:c r="B5" s="22" t="n">
        <x:f>COUNTIF('Skill总表'!$S$5:$S$59,"高")</x:f>
        <x:v>13</x:v>
      </x:c>
      <x:c r="F5" s="13" t="str">
        <x:v>Agent Skills（Lean 生态）</x:v>
      </x:c>
      <x:c r="G5" s="25" t="n">
        <x:f>COUNTIF('Skill总表'!$I$5:$I$59,F5)</x:f>
        <x:v>2</x:v>
      </x:c>
    </x:row>
    <x:row r="6">
      <x:c r="A6" s="10" t="str">
        <x:v>优先级：中</x:v>
      </x:c>
      <x:c r="B6" s="22" t="n">
        <x:f>COUNTIF('Skill总表'!$S$5:$S$59,"中")</x:f>
        <x:v>42</x:v>
      </x:c>
      <x:c r="F6" s="13" t="str">
        <x:v>Agent Skills（兼容 Codex、Claude Code、Cursor 等）</x:v>
      </x:c>
      <x:c r="G6" s="25" t="n">
        <x:f>COUNTIF('Skill总表'!$I$5:$I$59,F6)</x:f>
        <x:v>27</x:v>
      </x:c>
    </x:row>
    <x:row r="7">
      <x:c r="A7" s="10" t="str">
        <x:v>二级包内容验证</x:v>
      </x:c>
      <x:c r="B7" s="22" t="n">
        <x:f>COUNTIF('Skill总表'!$R$5:$R$59,"二级包内容验证")</x:f>
        <x:v>49</x:v>
      </x:c>
      <x:c r="F7" s="13" t="str">
        <x:v>Agent Skills（兼容 Codex、Claude Code）</x:v>
      </x:c>
      <x:c r="G7" s="25" t="n">
        <x:f>COUNTIF('Skill总表'!$I$5:$I$59,F7)</x:f>
        <x:v>4</x:v>
      </x:c>
    </x:row>
    <x:row r="8">
      <x:c r="A8" s="10" t="str">
        <x:v>说明已核验</x:v>
      </x:c>
      <x:c r="B8" s="22" t="n">
        <x:f>COUNTIF('Skill总表'!$R$5:$R$59,"说明已核验")</x:f>
        <x:v>6</x:v>
      </x:c>
      <x:c r="F8" s="13" t="str">
        <x:v>Anthropic Claude Code / 可移植工作流</x:v>
      </x:c>
      <x:c r="G8" s="25" t="n">
        <x:f>COUNTIF('Skill总表'!$I$5:$I$59,F8)</x:f>
        <x:v>5</x:v>
      </x:c>
    </x:row>
    <x:row r="9">
      <x:c r="A9" s="10" t="str">
        <x:v>独立仓库</x:v>
      </x:c>
      <x:c r="B9" s="22" t="n">
        <x:f>COUNTA('来源清单'!$A$5:$A$10)</x:f>
        <x:v>6</x:v>
      </x:c>
      <x:c r="F9" s="13" t="str">
        <x:v>多智能体生态（Codex、Claude Code、Cursor、Gemini CLI 等）</x:v>
      </x:c>
      <x:c r="G9" s="25" t="n">
        <x:f>COUNTIF('Skill总表'!$I$5:$I$59,F9)</x:f>
        <x:v>14</x:v>
      </x:c>
    </x:row>
    <x:row r="10">
      <x:c r="B10" s="23"/>
    </x:row>
    <x:row r="11">
      <x:c r="B11" s="23"/>
    </x:row>
    <x:row r="12">
      <x:c r="A12" s="9" t="str">
        <x:v>兼容等级</x:v>
      </x:c>
      <x:c r="B12" s="24" t="str">
        <x:v>数量</x:v>
      </x:c>
    </x:row>
    <x:row r="13">
      <x:c r="A13" s="10" t="str">
        <x:v>A</x:v>
      </x:c>
      <x:c r="B13" s="22" t="n">
        <x:f>COUNTIF('Skill总表'!$N$5:$N$59,"A")</x:f>
        <x:v>31</x:v>
      </x:c>
    </x:row>
    <x:row r="14">
      <x:c r="A14" s="10" t="str">
        <x:v>B</x:v>
      </x:c>
      <x:c r="B14" s="22" t="n">
        <x:f>COUNTIF('Skill总表'!$N$5:$N$59,"B")</x:f>
        <x:v>24</x:v>
      </x:c>
    </x:row>
    <x:row r="15">
      <x:c r="A15" s="10" t="str">
        <x:v>C</x:v>
      </x:c>
      <x:c r="B15" s="22" t="n">
        <x:f>COUNTIF('Skill总表'!$N$5:$N$59,"C")</x:f>
        <x:v>0</x:v>
      </x:c>
    </x:row>
    <x:row r="16">
      <x:c r="A16" s="10" t="str">
        <x:v>D</x:v>
      </x:c>
      <x:c r="B16" s="22" t="n">
        <x:f>COUNTIF('Skill总表'!$N$5:$N$59,"D")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6197620d0b04d2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0" hidden="0" customWidth="1"/>
    <x:col min="3" max="3" width="12" hidden="0" customWidth="1"/>
    <x:col min="4" max="4" width="15" hidden="0" customWidth="1"/>
    <x:col min="5" max="5" width="22" hidden="0" customWidth="1"/>
    <x:col min="6" max="6" width="14" hidden="0" customWidth="1"/>
    <x:col min="7" max="7" width="34" hidden="0" customWidth="1"/>
  </x:cols>
  <x:sheetData>
    <x:row r="1">
      <x:c r="A1" s="16" t="str">
        <x:v>编程、数学、数据分析和可视化｜GitHub 来源清单</x:v>
      </x:c>
      <x:c r="B1" s="16"/>
      <x:c r="C1" s="16"/>
      <x:c r="D1" s="16"/>
      <x:c r="E1" s="16"/>
      <x:c r="F1" s="16"/>
      <x:c r="G1" s="16"/>
    </x:row>
    <x:row r="2">
      <x:c r="A2" s="5" t="str">
        <x:v>同一仓库可能包含多个入选 skill；许可证需以具体目录和当前仓库文件为准。</x:v>
      </x:c>
      <x:c r="B2" s="5"/>
      <x:c r="C2" s="5"/>
      <x:c r="D2" s="5"/>
      <x:c r="E2" s="5"/>
      <x:c r="F2" s="5"/>
      <x:c r="G2" s="5"/>
    </x:row>
    <x:row r="4">
      <x:c r="A4" s="15" t="str">
        <x:v>GitHub仓库</x:v>
      </x:c>
      <x:c r="B4" s="15" t="str">
        <x:v>仓库地址</x:v>
      </x:c>
      <x:c r="C4" s="15" t="str">
        <x:v>Stars</x:v>
      </x:c>
      <x:c r="D4" s="15" t="str">
        <x:v>最近推送</x:v>
      </x:c>
      <x:c r="E4" s="15" t="str">
        <x:v>许可证</x:v>
      </x:c>
      <x:c r="F4" s="15" t="str">
        <x:v>入选Skill数</x:v>
      </x:c>
      <x:c r="G4" s="15" t="str">
        <x:v>来源形态</x:v>
      </x:c>
    </x:row>
    <x:row r="5">
      <x:c r="A5" s="19" t="str">
        <x:v>K-Dense-AI/scientific-agent-skills</x:v>
      </x:c>
      <x:c r="B5" s="19" t="str">
        <x:v>https://github.com/K-Dense-AI/scientific-agent-skills</x:v>
      </x:c>
      <x:c r="C5" s="19" t="n">
        <x:v>32822</x:v>
      </x:c>
      <x:c r="D5" s="19" t="str">
        <x:v>2026-08-03</x:v>
      </x:c>
      <x:c r="E5" s="19" t="str">
        <x:v>MIT</x:v>
      </x:c>
      <x:c r="F5" s="19" t="n">
        <x:f>COUNTIF('Skill总表'!$G$5:$G$59,A5)</x:f>
        <x:v>27</x:v>
      </x:c>
      <x:c r="G5" s="19" t="str">
        <x:v>社区 skill、GitHub 开源仓库</x:v>
      </x:c>
    </x:row>
    <x:row r="6">
      <x:c r="A6" s="19" t="str">
        <x:v>leanprover/skills</x:v>
      </x:c>
      <x:c r="B6" s="19" t="str">
        <x:v>https://github.com/leanprover/skills</x:v>
      </x:c>
      <x:c r="C6" s="19" t="n">
        <x:v>61</x:v>
      </x:c>
      <x:c r="D6" s="19" t="str">
        <x:v>2026-02-25</x:v>
      </x:c>
      <x:c r="E6" s="19" t="str">
        <x:v>Apache-2.0</x:v>
      </x:c>
      <x:c r="F6" s="19" t="n">
        <x:f>COUNTIF('Skill总表'!$G$5:$G$59,A6)</x:f>
        <x:v>2</x:v>
      </x:c>
      <x:c r="G6" s="19" t="str">
        <x:v>社区 skill、GitHub 开源仓库</x:v>
      </x:c>
    </x:row>
    <x:row r="7">
      <x:c r="A7" s="19" t="str">
        <x:v>lyndonkl/claude</x:v>
      </x:c>
      <x:c r="B7" s="19" t="str">
        <x:v>https://github.com/lyndonkl/claude</x:v>
      </x:c>
      <x:c r="C7" s="19" t="n">
        <x:v>141</x:v>
      </x:c>
      <x:c r="D7" s="19" t="str">
        <x:v>2026-08-04</x:v>
      </x:c>
      <x:c r="E7" s="19" t="str">
        <x:v>未明确</x:v>
      </x:c>
      <x:c r="F7" s="19" t="n">
        <x:f>COUNTIF('Skill总表'!$G$5:$G$59,A7)</x:f>
        <x:v>5</x:v>
      </x:c>
      <x:c r="G7" s="19" t="str">
        <x:v>社区 skill、GitHub 公开仓库（许可证待核）</x:v>
      </x:c>
    </x:row>
    <x:row r="8">
      <x:c r="A8" s="19" t="str">
        <x:v>markdown-viewer/skills</x:v>
      </x:c>
      <x:c r="B8" s="19" t="str">
        <x:v>https://github.com/markdown-viewer/skills</x:v>
      </x:c>
      <x:c r="C8" s="19" t="n">
        <x:v>3116</x:v>
      </x:c>
      <x:c r="D8" s="19" t="str">
        <x:v>2026-05-26</x:v>
      </x:c>
      <x:c r="E8" s="19" t="str">
        <x:v>未明确</x:v>
      </x:c>
      <x:c r="F8" s="19" t="n">
        <x:f>COUNTIF('Skill总表'!$G$5:$G$59,A8)</x:f>
        <x:v>3</x:v>
      </x:c>
      <x:c r="G8" s="19" t="str">
        <x:v>社区 skill、GitHub 公开仓库（许可证待核）</x:v>
      </x:c>
    </x:row>
    <x:row r="9">
      <x:c r="A9" s="19" t="str">
        <x:v>obra/superpowers</x:v>
      </x:c>
      <x:c r="B9" s="19" t="str">
        <x:v>https://github.com/obra/superpowers</x:v>
      </x:c>
      <x:c r="C9" s="19" t="n">
        <x:v>267788</x:v>
      </x:c>
      <x:c r="D9" s="19" t="str">
        <x:v>2026-08-06</x:v>
      </x:c>
      <x:c r="E9" s="19" t="str">
        <x:v>MIT</x:v>
      </x:c>
      <x:c r="F9" s="19" t="n">
        <x:f>COUNTIF('Skill总表'!$G$5:$G$59,A9)</x:f>
        <x:v>4</x:v>
      </x:c>
      <x:c r="G9" s="19" t="str">
        <x:v>社区 skill、GitHub 开源仓库</x:v>
      </x:c>
    </x:row>
    <x:row r="10">
      <x:c r="A10" s="19" t="str">
        <x:v>wshobson/agents</x:v>
      </x:c>
      <x:c r="B10" s="19" t="str">
        <x:v>https://github.com/wshobson/agents</x:v>
      </x:c>
      <x:c r="C10" s="19" t="n">
        <x:v>38534</x:v>
      </x:c>
      <x:c r="D10" s="19" t="str">
        <x:v>2026-08-05</x:v>
      </x:c>
      <x:c r="E10" s="19" t="str">
        <x:v>MIT</x:v>
      </x:c>
      <x:c r="F10" s="19" t="n">
        <x:f>COUNTIF('Skill总表'!$G$5:$G$59,A10)</x:f>
        <x:v>14</x:v>
      </x:c>
      <x:c r="G10" s="19" t="str">
        <x:v>社区 skill、GitHub 开源仓库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f87ea33ac164468"/>
  </x:tableParts>
</x:worksheet>
</file>