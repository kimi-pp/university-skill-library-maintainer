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e38856c6147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ecf08b645a34da0"/>
    <x:sheet xmlns:r="http://schemas.openxmlformats.org/officeDocument/2006/relationships" name="AI技能清单" sheetId="2" r:id="Ra656a2ea39ca464c"/>
    <x:sheet xmlns:r="http://schemas.openxmlformats.org/officeDocument/2006/relationships" name="分类统计" sheetId="3" r:id="Rec69fd47ce934df8"/>
    <x:sheet xmlns:r="http://schemas.openxmlformats.org/officeDocument/2006/relationships" name="来源清单" sheetId="4" r:id="Raa286f1d78c645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f9a4ab9c854b14" /><Relationship Type="http://schemas.openxmlformats.org/officeDocument/2006/relationships/theme" Target="/xl/theme/theme1.xml" Id="Rf4e8b070989941c7" /><Relationship Type="http://schemas.openxmlformats.org/officeDocument/2006/relationships/sharedStrings" Target="/xl/sharedStrings.xml" Id="Rb8d7865489dc4814" /><Relationship Type="http://schemas.openxmlformats.org/officeDocument/2006/relationships/worksheet" Target="/xl/worksheets/sheet1.xml" Id="R2ecf08b645a34da0" /><Relationship Type="http://schemas.openxmlformats.org/officeDocument/2006/relationships/worksheet" Target="/xl/worksheets/sheet2.xml" Id="Ra656a2ea39ca464c" /><Relationship Type="http://schemas.openxmlformats.org/officeDocument/2006/relationships/worksheet" Target="/xl/worksheets/sheet3.xml" Id="Rec69fd47ce934df8" /><Relationship Type="http://schemas.openxmlformats.org/officeDocument/2006/relationships/worksheet" Target="/xl/worksheets/sheet4.xml" Id="Raa286f1d78c64568" /></Relationships>
</file>

<file path=xl/tables/table1.xml><?xml version="1.0" encoding="utf-8"?>
<x:table xmlns:x="http://schemas.openxmlformats.org/spreadsheetml/2006/main" id="1" name="SkillTable02overview" displayName="SkillTable02overview" ref="A4:V26" headerRowCount="1" totalsRowCount="0" totalsRowShown="0">
  <x:autoFilter ref="A4:V2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2overview" displayName="SourceTable02overview" ref="A4:G15" headerRowCount="1" totalsRowCount="0" totalsRowShown="0">
  <x:autoFilter ref="A4:G1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9cc5f21ebf49b1" /><Relationship Id="rIdHyperlink1" Type="http://schemas.openxmlformats.org/officeDocument/2006/relationships/hyperlink" Target="https://github.com/anthropics/skills/blob/main/skills/docx/SKILL.md" TargetMode="External" /><Relationship Id="rIdHyperlink2" Type="http://schemas.openxmlformats.org/officeDocument/2006/relationships/hyperlink" Target="https://github.com/anthropics/skills" TargetMode="External" /><Relationship Id="rIdHyperlink3" Type="http://schemas.openxmlformats.org/officeDocument/2006/relationships/hyperlink" Target="https://github.com/anthropics/skills/blob/main/skills/xlsx/SKILL.md" TargetMode="External" /><Relationship Id="rIdHyperlink4" Type="http://schemas.openxmlformats.org/officeDocument/2006/relationships/hyperlink" Target="https://github.com/anthropics/skills" TargetMode="External" /><Relationship Id="rIdHyperlink5" Type="http://schemas.openxmlformats.org/officeDocument/2006/relationships/hyperlink" Target="https://github.com/anthropics/skills/blob/main/skills/pptx/SKILL.md" TargetMode="External" /><Relationship Id="rIdHyperlink6" Type="http://schemas.openxmlformats.org/officeDocument/2006/relationships/hyperlink" Target="https://github.com/anthropics/skills" TargetMode="External" /><Relationship Id="rIdHyperlink7" Type="http://schemas.openxmlformats.org/officeDocument/2006/relationships/hyperlink" Target="https://github.com/anthropics/skills/blob/main/skills/pdf/SKILL.md" TargetMode="External" /><Relationship Id="rIdHyperlink8" Type="http://schemas.openxmlformats.org/officeDocument/2006/relationships/hyperlink" Target="https://github.com/anthropics/skills" TargetMode="External" /><Relationship Id="rIdHyperlink9" Type="http://schemas.openxmlformats.org/officeDocument/2006/relationships/hyperlink" Target="https://github.com/anthropics/skills/blob/main/skills/doc-coauthoring/SKILL.md" TargetMode="External" /><Relationship Id="rIdHyperlink10" Type="http://schemas.openxmlformats.org/officeDocument/2006/relationships/hyperlink" Target="https://github.com/anthropics/skills" TargetMode="External" /><Relationship Id="rIdHyperlink11" Type="http://schemas.openxmlformats.org/officeDocument/2006/relationships/hyperlink" Target="https://github.com/openai/skills/blob/main/skills/.curated/pdf/SKILL.md" TargetMode="External" /><Relationship Id="rIdHyperlink12" Type="http://schemas.openxmlformats.org/officeDocument/2006/relationships/hyperlink" Target="https://github.com/openai/skills" TargetMode="External" /><Relationship Id="rIdHyperlink13" Type="http://schemas.openxmlformats.org/officeDocument/2006/relationships/hyperlink" Target="https://github.com/K-Dense-AI/scientific-agent-skills/blob/main/skills/markitdown/SKILL.md" TargetMode="External" /><Relationship Id="rIdHyperlink14" Type="http://schemas.openxmlformats.org/officeDocument/2006/relationships/hyperlink" Target="https://github.com/K-Dense-AI/scientific-agent-skills" TargetMode="External" /><Relationship Id="rIdHyperlink15" Type="http://schemas.openxmlformats.org/officeDocument/2006/relationships/hyperlink" Target="https://github.com/K-Dense-AI/scientific-agent-skills/blob/main/skills/scientific-slides/SKILL.md" TargetMode="External" /><Relationship Id="rIdHyperlink16" Type="http://schemas.openxmlformats.org/officeDocument/2006/relationships/hyperlink" Target="https://github.com/K-Dense-AI/scientific-agent-skills" TargetMode="External" /><Relationship Id="rIdHyperlink17" Type="http://schemas.openxmlformats.org/officeDocument/2006/relationships/hyperlink" Target="https://github.com/zLanqing/codex-claude-academic-skills/blob/main/office-academic-skill/SKILL.md" TargetMode="External" /><Relationship Id="rIdHyperlink18" Type="http://schemas.openxmlformats.org/officeDocument/2006/relationships/hyperlink" Target="https://github.com/zLanqing/codex-claude-academic-skills" TargetMode="External" /><Relationship Id="rIdHyperlink19" Type="http://schemas.openxmlformats.org/officeDocument/2006/relationships/hyperlink" Target="https://github.com/claude-office-skills/skills/blob/main/docx-manipulation/SKILL.md" TargetMode="External" /><Relationship Id="rIdHyperlink20" Type="http://schemas.openxmlformats.org/officeDocument/2006/relationships/hyperlink" Target="https://github.com/claude-office-skills/skills" TargetMode="External" /><Relationship Id="rIdHyperlink21" Type="http://schemas.openxmlformats.org/officeDocument/2006/relationships/hyperlink" Target="https://github.com/claude-office-skills/skills/blob/main/xlsx-manipulation/SKILL.md" TargetMode="External" /><Relationship Id="rIdHyperlink22" Type="http://schemas.openxmlformats.org/officeDocument/2006/relationships/hyperlink" Target="https://github.com/claude-office-skills/skills" TargetMode="External" /><Relationship Id="rIdHyperlink23" Type="http://schemas.openxmlformats.org/officeDocument/2006/relationships/hyperlink" Target="https://github.com/claude-office-skills/skills/blob/main/pptx-manipulation/SKILL.md" TargetMode="External" /><Relationship Id="rIdHyperlink24" Type="http://schemas.openxmlformats.org/officeDocument/2006/relationships/hyperlink" Target="https://github.com/claude-office-skills/skills" TargetMode="External" /><Relationship Id="rIdHyperlink25" Type="http://schemas.openxmlformats.org/officeDocument/2006/relationships/hyperlink" Target="https://github.com/claude-office-skills/skills/blob/main/md-to-office/SKILL.md" TargetMode="External" /><Relationship Id="rIdHyperlink26" Type="http://schemas.openxmlformats.org/officeDocument/2006/relationships/hyperlink" Target="https://github.com/claude-office-skills/skills" TargetMode="External" /><Relationship Id="rIdHyperlink27" Type="http://schemas.openxmlformats.org/officeDocument/2006/relationships/hyperlink" Target="https://github.com/claude-office-skills/skills/blob/main/office-to-md/SKILL.md" TargetMode="External" /><Relationship Id="rIdHyperlink28" Type="http://schemas.openxmlformats.org/officeDocument/2006/relationships/hyperlink" Target="https://github.com/claude-office-skills/skills" TargetMode="External" /><Relationship Id="rIdHyperlink29" Type="http://schemas.openxmlformats.org/officeDocument/2006/relationships/hyperlink" Target="https://github.com/claude-office-skills/skills/blob/main/batch-convert/SKILL.md" TargetMode="External" /><Relationship Id="rIdHyperlink30" Type="http://schemas.openxmlformats.org/officeDocument/2006/relationships/hyperlink" Target="https://github.com/claude-office-skills/skills" TargetMode="External" /><Relationship Id="rIdHyperlink31" Type="http://schemas.openxmlformats.org/officeDocument/2006/relationships/hyperlink" Target="https://github.com/EvotecIT/OfficeIMO/blob/master/.agents/plugins/officeimo-document-tools/skills/officeimo-document-operator/SKILL.md" TargetMode="External" /><Relationship Id="rIdHyperlink32" Type="http://schemas.openxmlformats.org/officeDocument/2006/relationships/hyperlink" Target="https://github.com/EvotecIT/OfficeIMO" TargetMode="External" /><Relationship Id="rIdHyperlink33" Type="http://schemas.openxmlformats.org/officeDocument/2006/relationships/hyperlink" Target="https://github.com/bowenliang123/markdown-exporter/blob/main/SKILL.md" TargetMode="External" /><Relationship Id="rIdHyperlink34" Type="http://schemas.openxmlformats.org/officeDocument/2006/relationships/hyperlink" Target="https://github.com/bowenliang123/markdown-exporter" TargetMode="External" /><Relationship Id="rIdHyperlink35" Type="http://schemas.openxmlformats.org/officeDocument/2006/relationships/hyperlink" Target="https://github.com/Leo1998-Lu/ai-paper2slide-skill/blob/main/SKILL.md" TargetMode="External" /><Relationship Id="rIdHyperlink36" Type="http://schemas.openxmlformats.org/officeDocument/2006/relationships/hyperlink" Target="https://github.com/Leo1998-Lu/ai-paper2slide-skill" TargetMode="External" /><Relationship Id="rIdHyperlink37" Type="http://schemas.openxmlformats.org/officeDocument/2006/relationships/hyperlink" Target="https://github.com/dachent/skills/blob/main/xlsx-win/SKILL.md" TargetMode="External" /><Relationship Id="rIdHyperlink38" Type="http://schemas.openxmlformats.org/officeDocument/2006/relationships/hyperlink" Target="https://github.com/dachent/skills" TargetMode="External" /><Relationship Id="rIdHyperlink39" Type="http://schemas.openxmlformats.org/officeDocument/2006/relationships/hyperlink" Target="https://github.com/kangminlee-maker/excel-workbook-editing/blob/main/SKILL.md" TargetMode="External" /><Relationship Id="rIdHyperlink40" Type="http://schemas.openxmlformats.org/officeDocument/2006/relationships/hyperlink" Target="https://github.com/kangminlee-maker/excel-workbook-editing" TargetMode="External" /><Relationship Id="rIdHyperlink41" Type="http://schemas.openxmlformats.org/officeDocument/2006/relationships/hyperlink" Target="https://github.com/Community-Access/accessibility-agents/blob/main/codex-skills/document-accessibility-wizard/SKILL.md" TargetMode="External" /><Relationship Id="rIdHyperlink42" Type="http://schemas.openxmlformats.org/officeDocument/2006/relationships/hyperlink" Target="https://github.com/Community-Access/accessibility-agents" TargetMode="External" /><Relationship Id="rIdHyperlink43" Type="http://schemas.openxmlformats.org/officeDocument/2006/relationships/hyperlink" Target="https://github.com/Community-Access/accessibility-agents/blob/main/.gemini/extensions/a11y-agents/skills/office-remediator/SKILL.md" TargetMode="External" /><Relationship Id="rIdHyperlink44" Type="http://schemas.openxmlformats.org/officeDocument/2006/relationships/hyperlink" Target="https://github.com/Community-Access/accessibility-agent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3654248f79c48f0" /><Relationship Id="rIdHyperlink1" Type="http://schemas.openxmlformats.org/officeDocument/2006/relationships/hyperlink" Target="https://github.com/Community-Access/accessibility-agents" TargetMode="External" /><Relationship Id="rIdHyperlink2" Type="http://schemas.openxmlformats.org/officeDocument/2006/relationships/hyperlink" Target="https://github.com/EvotecIT/OfficeIMO" TargetMode="External" /><Relationship Id="rIdHyperlink3" Type="http://schemas.openxmlformats.org/officeDocument/2006/relationships/hyperlink" Target="https://github.com/K-Dense-AI/scientific-agent-skills" TargetMode="External" /><Relationship Id="rIdHyperlink4" Type="http://schemas.openxmlformats.org/officeDocument/2006/relationships/hyperlink" Target="https://github.com/Leo1998-Lu/ai-paper2slide-skill" TargetMode="External" /><Relationship Id="rIdHyperlink5" Type="http://schemas.openxmlformats.org/officeDocument/2006/relationships/hyperlink" Target="https://github.com/anthropics/skills" TargetMode="External" /><Relationship Id="rIdHyperlink6" Type="http://schemas.openxmlformats.org/officeDocument/2006/relationships/hyperlink" Target="https://github.com/bowenliang123/markdown-exporter" TargetMode="External" /><Relationship Id="rIdHyperlink7" Type="http://schemas.openxmlformats.org/officeDocument/2006/relationships/hyperlink" Target="https://github.com/claude-office-skills/skills" TargetMode="External" /><Relationship Id="rIdHyperlink8" Type="http://schemas.openxmlformats.org/officeDocument/2006/relationships/hyperlink" Target="https://github.com/dachent/skills" TargetMode="External" /><Relationship Id="rIdHyperlink9" Type="http://schemas.openxmlformats.org/officeDocument/2006/relationships/hyperlink" Target="https://github.com/kangminlee-maker/excel-workbook-editing" TargetMode="External" /><Relationship Id="rIdHyperlink10" Type="http://schemas.openxmlformats.org/officeDocument/2006/relationships/hyperlink" Target="https://github.com/openai/skills" TargetMode="External" /><Relationship Id="rIdHyperlink11" Type="http://schemas.openxmlformats.org/officeDocument/2006/relationships/hyperlink" Target="https://github.com/zLanqing/codex-claude-academic-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文档、表格、演示文稿与办公自动化｜大分类总览</x:v>
      </x:c>
      <x:c r="B1" s="3"/>
      <x:c r="C1" s="3"/>
      <x:c r="D1" s="3"/>
    </x:row>
    <x:row r="2" ht="28" customHeight="1">
      <x:c r="A2" s="7" t="str">
        <x:v>通俗细分版｜数据日期 2026-08-07｜收录 22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文档、表格、演示文稿与办公自动化｜大分类总览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02-01 Word 文档制作与修改</x:v>
      </x:c>
      <x:c r="C5" s="38" t="str">
        <x:v>Word 文档创建与编辑</x:v>
      </x:c>
      <x:c r="D5" s="35" t="str">
        <x:v>创建、读取、编辑和检查 Word 文档及模板。</x:v>
      </x:c>
      <x:c r="E5" s="35" t="str">
        <x:v>适合学生、教学人员、科研人员、行政人员使用。</x:v>
      </x:c>
      <x:c r="F5" s="35" t="str">
        <x:v>适用于报告、公文、课程材料、论文附件和模板处理。</x:v>
      </x:c>
      <x:c r="G5" s="35" t="str">
        <x:v>需要由技术人员准备用于处理 Office 文档的 Node.js（运行网页类小程序的环境）或 Python（常用于数据处理和自动化的编程语言）工具。</x:v>
      </x:c>
      <x:c r="H5" s="35" t="str">
        <x:v>需要注意：复杂样式和修订需生成预览后抽查页面；来源技能有目录级许可证。</x:v>
      </x:c>
      <x:c r="I5" s="37" t="str">
        <x:v>高</x:v>
      </x:c>
      <x:c r="J5" s="37" t="str">
        <x:v>B｜少量调整</x:v>
      </x:c>
      <x:c r="K5" s="35" t="str">
        <x:v>经过少量调整后可以使用，常见调整包括更换工具、路径或账号设置。具体建议：调整 Codex 的文档运行环境和生成预览的路径；核心处理流程可复用。</x:v>
      </x:c>
      <x:c r="L5" s="35" t="str">
        <x:v>包内容已核验：已核对用途说明和包内文件；本次未安装、未运行，不能据此判断实际效果。</x:v>
      </x:c>
      <x:c r="M5" s="39" t="str">
        <x:v>docx</x:v>
      </x:c>
      <x:c r="N5" s="39" t="str">
        <x:v>GH-02-0001</x:v>
      </x:c>
      <x:c r="O5" s="36" t="str">
        <x:v>DOCX、Word、模板、批注、修订</x:v>
      </x:c>
      <x:c r="P5" s="36" t="str">
        <x:v>Anthropic Claude Code / Agent Skills</x:v>
      </x:c>
      <x:c r="Q5" s="36" t="str">
        <x:v>官方发布、开源仓库</x:v>
      </x:c>
      <x:c r="R5" s="39" t="str">
        <x:v>各技能目录独立许可证</x:v>
      </x:c>
      <x:c r="S5" s="41" t="n">
        <x:v>166590</x:v>
      </x:c>
      <x:c r="T5" s="42" t="n">
        <x:v>46227</x:v>
      </x:c>
      <x:c r="U5" s="36" t="str">
        <x:v>https://github.com/anthropics/skills/blob/main/skills/docx/SKILL.md</x:v>
      </x:c>
      <x:c r="V5" s="36" t="str">
        <x:v>https://github.com/anthropics/skills</x:v>
      </x:c>
    </x:row>
    <x:row r="6" ht="92" customHeight="1">
      <x:c r="A6" s="37" t="n">
        <x:v>2</x:v>
      </x:c>
      <x:c r="B6" s="38" t="str">
        <x:v>02-02 Excel 表格制作与分析</x:v>
      </x:c>
      <x:c r="C6" s="38" t="str">
        <x:v>电子表格创建与分析</x:v>
      </x:c>
      <x:c r="D6" s="35" t="str">
        <x:v>读取、创建、修复和验证电子表格文件。</x:v>
      </x:c>
      <x:c r="E6" s="35" t="str">
        <x:v>适合学生、教学人员、科研人员、行政人员使用。</x:v>
      </x:c>
      <x:c r="F6" s="35" t="str">
        <x:v>适用于成绩与调查数据、预算、统计表、业务台账。</x:v>
      </x:c>
      <x:c r="G6" s="35" t="str">
        <x:v>需要由技术人员准备表格处理工具；含公式的文件还要用表格软件重新计算。</x:v>
      </x:c>
      <x:c r="H6" s="35" t="str">
        <x:v>需要注意：公式缓存（为加快使用而临时保存的数据）和区域格式可能在不同软件间不一致。</x:v>
      </x:c>
      <x:c r="I6" s="37" t="str">
        <x:v>高</x:v>
      </x:c>
      <x:c r="J6" s="37" t="str">
        <x:v>B｜少量调整</x:v>
      </x:c>
      <x:c r="K6" s="35" t="str">
        <x:v>经过少量调整后可以使用，常见调整包括更换工具、路径或账号设置。具体建议：接入 Codex 电子表格依赖；保留公式重算和必须完成视觉检查。</x:v>
      </x:c>
      <x:c r="L6" s="35" t="str">
        <x:v>包内容已核验：已核对用途说明和包内文件；本次未安装、未运行，不能据此判断实际效果。</x:v>
      </x:c>
      <x:c r="M6" s="39" t="str">
        <x:v>xlsx</x:v>
      </x:c>
      <x:c r="N6" s="39" t="str">
        <x:v>GH-02-0002</x:v>
      </x:c>
      <x:c r="O6" s="36" t="str">
        <x:v>XLSX、Excel、公式、格式、图表、数据清理</x:v>
      </x:c>
      <x:c r="P6" s="36" t="str">
        <x:v>Anthropic Claude Code / Agent Skills</x:v>
      </x:c>
      <x:c r="Q6" s="36" t="str">
        <x:v>官方发布、开源仓库</x:v>
      </x:c>
      <x:c r="R6" s="39" t="str">
        <x:v>各技能目录独立许可证</x:v>
      </x:c>
      <x:c r="S6" s="41" t="n">
        <x:v>166590</x:v>
      </x:c>
      <x:c r="T6" s="42" t="n">
        <x:v>46227</x:v>
      </x:c>
      <x:c r="U6" s="36" t="str">
        <x:v>https://github.com/anthropics/skills/blob/main/skills/xlsx/SKILL.md</x:v>
      </x:c>
      <x:c r="V6" s="36" t="str">
        <x:v>https://github.com/anthropics/skills</x:v>
      </x:c>
    </x:row>
    <x:row r="7" ht="92" customHeight="1">
      <x:c r="A7" s="37" t="n">
        <x:v>3</x:v>
      </x:c>
      <x:c r="B7" s="38" t="str">
        <x:v>02-03 PowerPoint 与学术演示制作</x:v>
      </x:c>
      <x:c r="C7" s="38" t="str">
        <x:v>演示文稿创建与编辑</x:v>
      </x:c>
      <x:c r="D7" s="35" t="str">
        <x:v>创建、读取、编辑、合并和检查 PowerPoint 文件。</x:v>
      </x:c>
      <x:c r="E7" s="35" t="str">
        <x:v>适合学生、教学人员、科研人员、行政人员使用。</x:v>
      </x:c>
      <x:c r="F7" s="35" t="str">
        <x:v>适用于课堂展示、答辩、汇报、培训和会议材料。</x:v>
      </x:c>
      <x:c r="G7" s="35" t="str">
        <x:v>需要由技术人员准备生成 PowerPoint 和检查页面效果的工具。</x:v>
      </x:c>
      <x:c r="H7" s="35" t="str">
        <x:v>需要注意：自动布局容易产生拥挤或遮挡，必须逐页检查。</x:v>
      </x:c>
      <x:c r="I7" s="37" t="str">
        <x:v>高</x:v>
      </x:c>
      <x:c r="J7" s="37" t="str">
        <x:v>B｜少量调整</x:v>
      </x:c>
      <x:c r="K7" s="35" t="str">
        <x:v>经过少量调整后可以使用，常见调整包括更换工具、路径或账号设置。具体建议：对应 Codex 的演示文稿依赖和生成预览的工具。</x:v>
      </x:c>
      <x:c r="L7" s="35" t="str">
        <x:v>包内容已核验：已核对用途说明和包内文件；本次未安装、未运行，不能据此判断实际效果。</x:v>
      </x:c>
      <x:c r="M7" s="39" t="str">
        <x:v>pptx</x:v>
      </x:c>
      <x:c r="N7" s="39" t="str">
        <x:v>GH-02-0003</x:v>
      </x:c>
      <x:c r="O7" s="36" t="str">
        <x:v>PPTX、PowerPoint、模板、讲者备注、布局</x:v>
      </x:c>
      <x:c r="P7" s="36" t="str">
        <x:v>Anthropic Claude Code / Agent Skills</x:v>
      </x:c>
      <x:c r="Q7" s="36" t="str">
        <x:v>官方发布、开源仓库</x:v>
      </x:c>
      <x:c r="R7" s="39" t="str">
        <x:v>各技能目录独立许可证</x:v>
      </x:c>
      <x:c r="S7" s="41" t="n">
        <x:v>166590</x:v>
      </x:c>
      <x:c r="T7" s="42" t="n">
        <x:v>46227</x:v>
      </x:c>
      <x:c r="U7" s="36" t="str">
        <x:v>https://github.com/anthropics/skills/blob/main/skills/pptx/SKILL.md</x:v>
      </x:c>
      <x:c r="V7" s="36" t="str">
        <x:v>https://github.com/anthropics/skills</x:v>
      </x:c>
    </x:row>
    <x:row r="8" ht="92" customHeight="1">
      <x:c r="A8" s="37" t="n">
        <x:v>4</x:v>
      </x:c>
      <x:c r="B8" s="38" t="str">
        <x:v>02-04 PDF 读取、整理与生成</x:v>
      </x:c>
      <x:c r="C8" s="38" t="str">
        <x:v>PDF 综合处理（Anthropic）</x:v>
      </x:c>
      <x:c r="D8" s="35" t="str">
        <x:v>读取、生成、转换、拆分、合并和 OCR（把图片中的文字识别为可编辑文本） PDF（常用的固定版式文档格式）。</x:v>
      </x:c>
      <x:c r="E8" s="35" t="str">
        <x:v>适合学生、教学人员、科研人员、行政人员使用。</x:v>
      </x:c>
      <x:c r="F8" s="35" t="str">
        <x:v>适用于论文阅读、扫描件 OCR、材料合并与归档。</x:v>
      </x:c>
      <x:c r="G8" s="35" t="str">
        <x:v>需要准备：Poppler（读取和转换 PDF 的工具）、Python（常用于数据处理和自动化的编程语言） PDF/OCR 工具。</x:v>
      </x:c>
      <x:c r="H8" s="35" t="str">
        <x:v>需要注意：OCR 和复杂版面可能丢失结构；加密文件需合法权限。</x:v>
      </x:c>
      <x:c r="I8" s="37" t="str">
        <x:v>高</x:v>
      </x:c>
      <x:c r="J8" s="37" t="str">
        <x:v>B｜少量调整</x:v>
      </x:c>
      <x:c r="K8" s="35" t="str">
        <x:v>经过少量调整后可以使用，常见调整包括更换工具、路径或账号设置。具体建议：使用 Codex 可用的 PDF 工具替换命令路径。</x:v>
      </x:c>
      <x:c r="L8" s="35" t="str">
        <x:v>说明已核验：已核对用途与使用说明；本次未安装、未运行，不能据此判断实际效果。</x:v>
      </x:c>
      <x:c r="M8" s="39" t="str">
        <x:v>pdf</x:v>
      </x:c>
      <x:c r="N8" s="39" t="str">
        <x:v>GH-02-0004</x:v>
      </x:c>
      <x:c r="O8" s="36" t="str">
        <x:v>PDF、提取、合并、拆分、OCR、表单</x:v>
      </x:c>
      <x:c r="P8" s="36" t="str">
        <x:v>Anthropic Claude Code / Agent Skills</x:v>
      </x:c>
      <x:c r="Q8" s="36" t="str">
        <x:v>官方发布、开源仓库</x:v>
      </x:c>
      <x:c r="R8" s="39" t="str">
        <x:v>各技能目录独立许可证</x:v>
      </x:c>
      <x:c r="S8" s="41" t="n">
        <x:v>166590</x:v>
      </x:c>
      <x:c r="T8" s="42" t="n">
        <x:v>46227</x:v>
      </x:c>
      <x:c r="U8" s="36" t="str">
        <x:v>https://github.com/anthropics/skills/blob/main/skills/pdf/SKILL.md</x:v>
      </x:c>
      <x:c r="V8" s="36" t="str">
        <x:v>https://github.com/anthropics/skills</x:v>
      </x:c>
    </x:row>
    <x:row r="9" ht="92" customHeight="1">
      <x:c r="A9" s="37" t="n">
        <x:v>5</x:v>
      </x:c>
      <x:c r="B9" s="38" t="str">
        <x:v>02-05 文档共创与需求梳理</x:v>
      </x:c>
      <x:c r="C9" s="38" t="str">
        <x:v>结构化文档共创</x:v>
      </x:c>
      <x:c r="D9" s="35" t="str">
        <x:v>引导用户共同撰写提案、规范、决策文档和说明材料。</x:v>
      </x:c>
      <x:c r="E9" s="35" t="str">
        <x:v>适合教学人员、科研人员、行政人员、学生使用。</x:v>
      </x:c>
      <x:c r="F9" s="35" t="str">
        <x:v>适用于项目方案、课程规范、制度草案和决策记录。</x:v>
      </x:c>
      <x:c r="G9" s="35" t="str">
        <x:v>通常不需要额外安装其他工具；实际使用前仍应检查本校环境。</x:v>
      </x:c>
      <x:c r="H9" s="35" t="str">
        <x:v>需要注意：需要用户持续提供上下文，不适合无人监督生成正式制度。</x:v>
      </x:c>
      <x:c r="I9" s="37" t="str">
        <x:v>中</x:v>
      </x:c>
      <x:c r="J9" s="37" t="str">
        <x:v>B｜少量调整</x:v>
      </x:c>
      <x:c r="K9" s="35" t="str">
        <x:v>经过少量调整后可以使用，常见调整包括更换工具、路径或账号设置。具体建议：把对话阶段直接转成 Codex 任务步骤；可与 docx AI 技能联用。</x:v>
      </x:c>
      <x:c r="L9" s="35" t="str">
        <x:v>说明已核验：已核对用途与使用说明；本次未安装、未运行，不能据此判断实际效果。</x:v>
      </x:c>
      <x:c r="M9" s="39" t="str">
        <x:v>doc-coauthoring</x:v>
      </x:c>
      <x:c r="N9" s="39" t="str">
        <x:v>GH-02-0005</x:v>
      </x:c>
      <x:c r="O9" s="36" t="str">
        <x:v>文档共创、需求澄清、迭代、读者验证</x:v>
      </x:c>
      <x:c r="P9" s="36" t="str">
        <x:v>Anthropic Claude Code / Agent Skills</x:v>
      </x:c>
      <x:c r="Q9" s="36" t="str">
        <x:v>官方发布、开源仓库、可移植工作流</x:v>
      </x:c>
      <x:c r="R9" s="39" t="str">
        <x:v>各技能目录独立许可证</x:v>
      </x:c>
      <x:c r="S9" s="41" t="n">
        <x:v>166590</x:v>
      </x:c>
      <x:c r="T9" s="42" t="n">
        <x:v>46227</x:v>
      </x:c>
      <x:c r="U9" s="36" t="str">
        <x:v>https://github.com/anthropics/skills/blob/main/skills/doc-coauthoring/SKILL.md</x:v>
      </x:c>
      <x:c r="V9" s="36" t="str">
        <x:v>https://github.com/anthropics/skills</x:v>
      </x:c>
    </x:row>
    <x:row r="10" ht="92" customHeight="1">
      <x:c r="A10" s="37" t="n">
        <x:v>6</x:v>
      </x:c>
      <x:c r="B10" s="38" t="str">
        <x:v>02-04 PDF 读取、整理与生成</x:v>
      </x:c>
      <x:c r="C10" s="38" t="str">
        <x:v>PDF 创建与版式核验（OpenAI）</x:v>
      </x:c>
      <x:c r="D10" s="35" t="str">
        <x:v>在 Codex 中读取、创建和审查 PDF（常用的固定版式文档格式），强调生成预览后核对版面。</x:v>
      </x:c>
      <x:c r="E10" s="35" t="str">
        <x:v>适合学生、教学人员、科研人员、行政人员使用。</x:v>
      </x:c>
      <x:c r="F10" s="35" t="str">
        <x:v>适用于报告导出、PDF 审阅、表格提取和页面级质量检查。</x:v>
      </x:c>
      <x:c r="G10" s="35" t="str">
        <x:v>需要准备：Poppler（读取和转换 PDF 的工具）与 Python（常用于数据处理和自动化的编程语言） PDF 库。</x:v>
      </x:c>
      <x:c r="H10" s="35" t="str">
        <x:v>需要注意：文本提取不代表版式正确，仍需生成预览检查。</x:v>
      </x:c>
      <x:c r="I10" s="37" t="str">
        <x:v>高</x:v>
      </x:c>
      <x:c r="J10" s="37" t="str">
        <x:v>A｜调整少</x:v>
      </x:c>
      <x:c r="K10" s="35" t="str">
        <x:v>基本可以直接放入现有 AI 工作台使用，但仍需按本校制度和工具设置进行检查。具体建议：可直接用于 Codex；按工作区依赖路径执行。</x:v>
      </x:c>
      <x:c r="L10" s="35" t="str">
        <x:v>包内容已核验：已核对用途说明和包内文件；本次未安装、未运行，不能据此判断实际效果。</x:v>
      </x:c>
      <x:c r="M10" s="39" t="str">
        <x:v>pdf</x:v>
      </x:c>
      <x:c r="N10" s="39" t="str">
        <x:v>GH-02-0006</x:v>
      </x:c>
      <x:c r="O10" s="36" t="str">
        <x:v>PDF、创建、提取、渲染、版式检查</x:v>
      </x:c>
      <x:c r="P10" s="36" t="str">
        <x:v>OpenAI Codex</x:v>
      </x:c>
      <x:c r="Q10" s="36" t="str">
        <x:v>官方发布、开源仓库</x:v>
      </x:c>
      <x:c r="R10" s="39" t="str">
        <x:v>各技能目录独立许可证</x:v>
      </x:c>
      <x:c r="S10" s="41" t="n">
        <x:v>24564</x:v>
      </x:c>
      <x:c r="T10" s="42" t="n">
        <x:v>46217</x:v>
      </x:c>
      <x:c r="U10" s="36" t="str">
        <x:v>https://github.com/openai/skills/blob/main/skills/.curated/pdf/SKILL.md</x:v>
      </x:c>
      <x:c r="V10" s="36" t="str">
        <x:v>https://github.com/openai/skills</x:v>
      </x:c>
    </x:row>
    <x:row r="11" ht="92" customHeight="1">
      <x:c r="A11" s="37" t="n">
        <x:v>7</x:v>
      </x:c>
      <x:c r="B11" s="38" t="str">
        <x:v>02-06 Office 与 Markdown 互转</x:v>
      </x:c>
      <x:c r="C11" s="38" t="str">
        <x:v>多格式转 Markdown</x:v>
      </x:c>
      <x:c r="D11" s="35" t="str">
        <x:v>使用 Microsoft MarkItDown 将多种文档安全转换为 Markdown（用简单符号排版文本的格式）。</x:v>
      </x:c>
      <x:c r="E11" s="35" t="str">
        <x:v>适合科研人员、学生、图书馆人员、行政人员使用。</x:v>
      </x:c>
      <x:c r="F11" s="35" t="str">
        <x:v>适用于资料入库、文档检索、RAG（先查资料再生成回答的方法）准备和批量转换。</x:v>
      </x:c>
      <x:c r="G11" s="35" t="str">
        <x:v>需要准备：Microsoft MarkItDown；可选 OCR（把图片中的文字识别为可编辑文本）、Azure 或 MCP（让 AI 连接外部工具的通用方式）。</x:v>
      </x:c>
      <x:c r="H11" s="35" t="str">
        <x:v>需要注意：转换可能丢失复杂布局；外部 OCR 服务涉及数据边界。</x:v>
      </x:c>
      <x:c r="I11" s="37" t="str">
        <x:v>高</x:v>
      </x:c>
      <x:c r="J11" s="37" t="str">
        <x:v>B｜少量调整</x:v>
      </x:c>
      <x:c r="K11" s="35" t="str">
        <x:v>经过少量调整后可以使用，常见调整包括更换工具、路径或账号设置。具体建议：安装对应 MarkItDown 能力或改接现有转换器。</x:v>
      </x:c>
      <x:c r="L11" s="35" t="str">
        <x:v>说明已核验：已核对用途与使用说明；本次未安装、未运行，不能据此判断实际效果。</x:v>
      </x:c>
      <x:c r="M11" s="39" t="str">
        <x:v>markitdown</x:v>
      </x:c>
      <x:c r="N11" s="39" t="str">
        <x:v>GH-02-0007</x:v>
      </x:c>
      <x:c r="O11" s="36" t="str">
        <x:v>Markdown、Office、PDF、批量转换、RAG</x:v>
      </x:c>
      <x:c r="P11" s="36" t="str">
        <x:v>Agent Skills（兼容 Codex）</x:v>
      </x:c>
      <x:c r="Q11" s="36" t="str">
        <x:v>社区 skill、开源仓库</x:v>
      </x:c>
      <x:c r="R11" s="39" t="str">
        <x:v>MIT</x:v>
      </x:c>
      <x:c r="S11" s="41" t="n">
        <x:v>32822</x:v>
      </x:c>
      <x:c r="T11" s="42" t="n">
        <x:v>46237</x:v>
      </x:c>
      <x:c r="U11" s="36" t="str">
        <x:v>https://github.com/K-Dense-AI/scientific-agent-skills/blob/main/skills/markitdown/SKILL.md</x:v>
      </x:c>
      <x:c r="V11" s="36" t="str">
        <x:v>https://github.com/K-Dense-AI/scientific-agent-skills</x:v>
      </x:c>
    </x:row>
    <x:row r="12" ht="92" customHeight="1">
      <x:c r="A12" s="37" t="n">
        <x:v>8</x:v>
      </x:c>
      <x:c r="B12" s="38" t="str">
        <x:v>02-03 PowerPoint 与学术演示制作</x:v>
      </x:c>
      <x:c r="C12" s="38" t="str">
        <x:v>科研演示文稿工作流</x:v>
      </x:c>
      <x:c r="D12" s="35" t="str">
        <x:v>为研究报告、会议和答辩构建科学演示文稿。</x:v>
      </x:c>
      <x:c r="E12" s="35" t="str">
        <x:v>适合学生、科研人员、教学人员使用。</x:v>
      </x:c>
      <x:c r="F12" s="35" t="str">
        <x:v>适用于组会、论文分享、学术会议、开题与答辩。</x:v>
      </x:c>
      <x:c r="G12" s="35" t="str">
        <x:v>需要准备：PowerPoint 或 LaTeX；部分流程引用图像生成工具。</x:v>
      </x:c>
      <x:c r="H12" s="35" t="str">
        <x:v>需要注意：自动生成视觉素材需核验版权和科学准确性。</x:v>
      </x:c>
      <x:c r="I12" s="37" t="str">
        <x:v>高</x:v>
      </x:c>
      <x:c r="J12" s="37" t="str">
        <x:v>A｜调整少</x:v>
      </x:c>
      <x:c r="K12" s="35" t="str">
        <x:v>基本可以直接放入现有 AI 工作台使用，但仍需按本校制度和工具设置进行检查。具体建议：可直接作为内容与视觉规则；图像生成依赖按需替换。</x:v>
      </x:c>
      <x:c r="L12" s="35" t="str">
        <x:v>说明已核验：已核对用途与使用说明；本次未安装、未运行，不能据此判断实际效果。</x:v>
      </x:c>
      <x:c r="M12" s="39" t="str">
        <x:v>scientific-slides</x:v>
      </x:c>
      <x:c r="N12" s="39" t="str">
        <x:v>GH-02-0008</x:v>
      </x:c>
      <x:c r="O12" s="36" t="str">
        <x:v>科研汇报、答辩、会议演讲、Beamer</x:v>
      </x:c>
      <x:c r="P12" s="36" t="str">
        <x:v>Agent Skills（兼容 Codex）</x:v>
      </x:c>
      <x:c r="Q12" s="36" t="str">
        <x:v>社区 skill、开源仓库</x:v>
      </x:c>
      <x:c r="R12" s="39" t="str">
        <x:v>MIT</x:v>
      </x:c>
      <x:c r="S12" s="41" t="n">
        <x:v>32822</x:v>
      </x:c>
      <x:c r="T12" s="42" t="n">
        <x:v>46237</x:v>
      </x:c>
      <x:c r="U12" s="36" t="str">
        <x:v>https://github.com/K-Dense-AI/scientific-agent-skills/blob/main/skills/scientific-slides/SKILL.md</x:v>
      </x:c>
      <x:c r="V12" s="36" t="str">
        <x:v>https://github.com/K-Dense-AI/scientific-agent-skills</x:v>
      </x:c>
    </x:row>
    <x:row r="13" ht="92" customHeight="1">
      <x:c r="A13" s="37" t="n">
        <x:v>9</x:v>
      </x:c>
      <x:c r="B13" s="38" t="str">
        <x:v>02-03 PowerPoint 与学术演示制作</x:v>
      </x:c>
      <x:c r="C13" s="38" t="str">
        <x:v>中文学术 Word/PPT 工作流</x:v>
      </x:c>
      <x:c r="D13" s="35" t="str">
        <x:v>把论文和学位材料转换为中文 Word 报告或学术演示。</x:v>
      </x:c>
      <x:c r="E13" s="35" t="str">
        <x:v>适合学生、科研人员、教学人员使用。</x:v>
      </x:c>
      <x:c r="F13" s="35" t="str">
        <x:v>适用于论文汇报、组会、开题答辩、中文阅读报告。</x:v>
      </x:c>
      <x:c r="G13" s="35" t="str">
        <x:v>需要准备：Word/PPTX（PowerPoint 演示文稿格式）生成和生成预览依赖。</x:v>
      </x:c>
      <x:c r="H13" s="35" t="str">
        <x:v>需要注意：必须防止公式、变量和引用在转换中被改写。</x:v>
      </x:c>
      <x:c r="I13" s="37" t="str">
        <x:v>高</x:v>
      </x:c>
      <x:c r="J13" s="37" t="str">
        <x:v>A｜调整少</x:v>
      </x:c>
      <x:c r="K13" s="35" t="str">
        <x:v>基本可以直接放入现有 AI 工作台使用，但仍需按本校制度和工具设置进行检查。具体建议：可直接用于 Codex；替换本校视觉模板即可。</x:v>
      </x:c>
      <x:c r="L13" s="35" t="str">
        <x:v>说明已核验：已核对用途与使用说明；本次未安装、未运行，不能据此判断实际效果。</x:v>
      </x:c>
      <x:c r="M13" s="39" t="str">
        <x:v>office-academic-skill</x:v>
      </x:c>
      <x:c r="N13" s="39" t="str">
        <x:v>GH-02-0009</x:v>
      </x:c>
      <x:c r="O13" s="36" t="str">
        <x:v>中文学术报告、论文阅读、DOCX、PPTX、讲者备注</x:v>
      </x:c>
      <x:c r="P13" s="36" t="str">
        <x:v>OpenAI Codex、Anthropic Claude Code</x:v>
      </x:c>
      <x:c r="Q13" s="36" t="str">
        <x:v>社区 skill、开源仓库</x:v>
      </x:c>
      <x:c r="R13" s="39" t="str">
        <x:v>MIT</x:v>
      </x:c>
      <x:c r="S13" s="41" t="n">
        <x:v>2613</x:v>
      </x:c>
      <x:c r="T13" s="42" t="n">
        <x:v>46156</x:v>
      </x:c>
      <x:c r="U13" s="36" t="str">
        <x:v>https://github.com/zLanqing/codex-claude-academic-skills/blob/main/office-academic-skill/SKILL.md</x:v>
      </x:c>
      <x:c r="V13" s="36" t="str">
        <x:v>https://github.com/zLanqing/codex-claude-academic-skills</x:v>
      </x:c>
    </x:row>
    <x:row r="14" ht="92" customHeight="1">
      <x:c r="A14" s="37" t="n">
        <x:v>10</x:v>
      </x:c>
      <x:c r="B14" s="38" t="str">
        <x:v>02-01 Word 文档制作与修改</x:v>
      </x:c>
      <x:c r="C14" s="38" t="str">
        <x:v>python-docx 文档操作</x:v>
      </x:c>
      <x:c r="D14" s="35" t="str">
        <x:v>使用 python-docx（自动创建和修改 Word 文档的软件）通过程序自动创建和编辑 Word 文档。</x:v>
      </x:c>
      <x:c r="E14" s="35" t="str">
        <x:v>适合行政人员、教学人员、科研人员使用。</x:v>
      </x:c>
      <x:c r="F14" s="35" t="str">
        <x:v>适用于批量报告、公文模板、课程材料自动生成。</x:v>
      </x:c>
      <x:c r="G14" s="35" t="str">
        <x:v>需要准备：python-docx。</x:v>
      </x:c>
      <x:c r="H14" s="35" t="str">
        <x:v>需要注意：复杂 Word 特性支持有限，输出仍需版式检查。</x:v>
      </x:c>
      <x:c r="I14" s="37" t="str">
        <x:v>中</x:v>
      </x:c>
      <x:c r="J14" s="37" t="str">
        <x:v>B｜少量调整</x:v>
      </x:c>
      <x:c r="K14" s="35" t="str">
        <x:v>经过少量调整后可以使用，常见调整包括更换工具、路径或账号设置。具体建议：将 Claude 特定元数据（描述资料的信息，如题名、作者和日期）改为 Codex AI 技能；复用 python-docx 范式。</x:v>
      </x:c>
      <x:c r="L14" s="35" t="str">
        <x:v>说明已核验：已核对用途与使用说明；本次未安装、未运行，不能据此判断实际效果。</x:v>
      </x:c>
      <x:c r="M14" s="39" t="str">
        <x:v>docx-manipulation</x:v>
      </x:c>
      <x:c r="N14" s="39" t="str">
        <x:v>GH-02-0010</x:v>
      </x:c>
      <x:c r="O14" s="36" t="str">
        <x:v>python-docx、Word、文档操作</x:v>
      </x:c>
      <x:c r="P14" s="36" t="str">
        <x:v>Anthropic Claude Code</x:v>
      </x:c>
      <x:c r="Q14" s="36" t="str">
        <x:v>社区 skill、开源仓库</x:v>
      </x:c>
      <x:c r="R14" s="39" t="str">
        <x:v>MIT</x:v>
      </x:c>
      <x:c r="S14" s="41" t="n">
        <x:v>362</x:v>
      </x:c>
      <x:c r="T14" s="42" t="n">
        <x:v>46053</x:v>
      </x:c>
      <x:c r="U14" s="36" t="str">
        <x:v>https://github.com/claude-office-skills/skills/blob/main/docx-manipulation/SKILL.md</x:v>
      </x:c>
      <x:c r="V14" s="36" t="str">
        <x:v>https://github.com/claude-office-skills/skills</x:v>
      </x:c>
    </x:row>
    <x:row r="15" ht="92" customHeight="1">
      <x:c r="A15" s="37" t="n">
        <x:v>11</x:v>
      </x:c>
      <x:c r="B15" s="38" t="str">
        <x:v>02-02 Excel 表格制作与分析</x:v>
      </x:c>
      <x:c r="C15" s="38" t="str">
        <x:v>openpyxl 表格操作</x:v>
      </x:c>
      <x:c r="D15" s="35" t="str">
        <x:v>使用 openpyxl 通过程序自动创建和编辑 Excel 工作簿。</x:v>
      </x:c>
      <x:c r="E15" s="35" t="str">
        <x:v>适合行政人员、科研人员、学生使用。</x:v>
      </x:c>
      <x:c r="F15" s="35" t="str">
        <x:v>适用于台账、调查数据、批量工作簿和报表生成。</x:v>
      </x:c>
      <x:c r="G15" s="35" t="str">
        <x:v>需要准备：openpyxl。</x:v>
      </x:c>
      <x:c r="H15" s="35" t="str">
        <x:v>需要注意：openpyxl 不计算公式，复杂 Excel 对象可能丢失。</x:v>
      </x:c>
      <x:c r="I15" s="37" t="str">
        <x:v>中</x:v>
      </x:c>
      <x:c r="J15" s="37" t="str">
        <x:v>B｜少量调整</x:v>
      </x:c>
      <x:c r="K15" s="35" t="str">
        <x:v>经过少量调整后可以使用，常见调整包括更换工具、路径或账号设置。具体建议：改写工具使用并增加公式重算与必须完成页面效果检查。</x:v>
      </x:c>
      <x:c r="L15" s="35" t="str">
        <x:v>说明已核验：已核对用途与使用说明；本次未安装、未运行，不能据此判断实际效果。</x:v>
      </x:c>
      <x:c r="M15" s="39" t="str">
        <x:v>xlsx-manipulation</x:v>
      </x:c>
      <x:c r="N15" s="39" t="str">
        <x:v>GH-02-0011</x:v>
      </x:c>
      <x:c r="O15" s="36" t="str">
        <x:v>openpyxl、Excel、公式、样式</x:v>
      </x:c>
      <x:c r="P15" s="36" t="str">
        <x:v>Anthropic Claude Code</x:v>
      </x:c>
      <x:c r="Q15" s="36" t="str">
        <x:v>社区 skill、开源仓库</x:v>
      </x:c>
      <x:c r="R15" s="39" t="str">
        <x:v>MIT</x:v>
      </x:c>
      <x:c r="S15" s="41" t="n">
        <x:v>362</x:v>
      </x:c>
      <x:c r="T15" s="42" t="n">
        <x:v>46053</x:v>
      </x:c>
      <x:c r="U15" s="36" t="str">
        <x:v>https://github.com/claude-office-skills/skills/blob/main/xlsx-manipulation/SKILL.md</x:v>
      </x:c>
      <x:c r="V15" s="36" t="str">
        <x:v>https://github.com/claude-office-skills/skills</x:v>
      </x:c>
    </x:row>
    <x:row r="16" ht="92" customHeight="1">
      <x:c r="A16" s="37" t="n">
        <x:v>12</x:v>
      </x:c>
      <x:c r="B16" s="38" t="str">
        <x:v>02-03 PowerPoint 与学术演示制作</x:v>
      </x:c>
      <x:c r="C16" s="38" t="str">
        <x:v>python-pptx 演示操作</x:v>
      </x:c>
      <x:c r="D16" s="35" t="str">
        <x:v>使用 python-pptx 通过程序自动创建和修改演示文稿。</x:v>
      </x:c>
      <x:c r="E16" s="35" t="str">
        <x:v>适合教学人员、科研人员、行政人员、学生使用。</x:v>
      </x:c>
      <x:c r="F16" s="35" t="str">
        <x:v>适用于批量培训课件、标准化汇报和模板填充。</x:v>
      </x:c>
      <x:c r="G16" s="35" t="str">
        <x:v>需要准备：python-pptx。</x:v>
      </x:c>
      <x:c r="H16" s="35" t="str">
        <x:v>需要注意：不支持所有 PowerPoint 特性；自动布局需要人工复核。</x:v>
      </x:c>
      <x:c r="I16" s="37" t="str">
        <x:v>中</x:v>
      </x:c>
      <x:c r="J16" s="37" t="str">
        <x:v>B｜少量调整</x:v>
      </x:c>
      <x:c r="K16" s="35" t="str">
        <x:v>经过少量调整后可以使用，常见调整包括更换工具、路径或账号设置。具体建议：改写为 Codex 工具路径并增加逐页生成预览并检查。</x:v>
      </x:c>
      <x:c r="L16" s="35" t="str">
        <x:v>说明已核验：已核对用途与使用说明；本次未安装、未运行，不能据此判断实际效果。</x:v>
      </x:c>
      <x:c r="M16" s="39" t="str">
        <x:v>pptx-manipulation</x:v>
      </x:c>
      <x:c r="N16" s="39" t="str">
        <x:v>GH-02-0012</x:v>
      </x:c>
      <x:c r="O16" s="36" t="str">
        <x:v>python-pptx、PowerPoint、模板、布局</x:v>
      </x:c>
      <x:c r="P16" s="36" t="str">
        <x:v>Anthropic Claude Code</x:v>
      </x:c>
      <x:c r="Q16" s="36" t="str">
        <x:v>社区 skill、开源仓库</x:v>
      </x:c>
      <x:c r="R16" s="39" t="str">
        <x:v>MIT</x:v>
      </x:c>
      <x:c r="S16" s="41" t="n">
        <x:v>362</x:v>
      </x:c>
      <x:c r="T16" s="42" t="n">
        <x:v>46053</x:v>
      </x:c>
      <x:c r="U16" s="36" t="str">
        <x:v>https://github.com/claude-office-skills/skills/blob/main/pptx-manipulation/SKILL.md</x:v>
      </x:c>
      <x:c r="V16" s="36" t="str">
        <x:v>https://github.com/claude-office-skills/skills</x:v>
      </x:c>
    </x:row>
    <x:row r="17" ht="92" customHeight="1">
      <x:c r="A17" s="37" t="n">
        <x:v>13</x:v>
      </x:c>
      <x:c r="B17" s="38" t="str">
        <x:v>02-06 Office 与 Markdown 互转</x:v>
      </x:c>
      <x:c r="C17" s="38" t="str">
        <x:v>Markdown 转 Office</x:v>
      </x:c>
      <x:c r="D17" s="35" t="str">
        <x:v>把 Markdown（用简单符号排版文本的格式）内容转换为常见 Office 文件。</x:v>
      </x:c>
      <x:c r="E17" s="35" t="str">
        <x:v>适合学生、教学人员、科研人员、行政人员使用。</x:v>
      </x:c>
      <x:c r="F17" s="35" t="str">
        <x:v>适用于笔记转报告、Markdown 方案转 Word、提纲转演示。</x:v>
      </x:c>
      <x:c r="G17" s="35" t="str">
        <x:v>需要准备：Pandoc（转换多种文档格式的工具）或 Python（常用于数据处理和自动化的编程语言）/Node.js（运行网页类小程序的环境） Office 库。</x:v>
      </x:c>
      <x:c r="H17" s="35" t="str">
        <x:v>需要注意：跨格式转换可能丢失版式与语义，需要目标文件检查。</x:v>
      </x:c>
      <x:c r="I17" s="37" t="str">
        <x:v>中</x:v>
      </x:c>
      <x:c r="J17" s="37" t="str">
        <x:v>B｜少量调整</x:v>
      </x:c>
      <x:c r="K17" s="35" t="str">
        <x:v>经过少量调整后可以使用，常见调整包括更换工具、路径或账号设置。具体建议：选择本地转换工具并为目标模板增加样式对应。</x:v>
      </x:c>
      <x:c r="L17" s="35" t="str">
        <x:v>说明已核验：已核对用途与使用说明；本次未安装、未运行，不能据此判断实际效果。</x:v>
      </x:c>
      <x:c r="M17" s="39" t="str">
        <x:v>md-to-office</x:v>
      </x:c>
      <x:c r="N17" s="39" t="str">
        <x:v>GH-02-0013</x:v>
      </x:c>
      <x:c r="O17" s="36" t="str">
        <x:v>Markdown、DOCX、PPTX、XLSX、转换</x:v>
      </x:c>
      <x:c r="P17" s="36" t="str">
        <x:v>Anthropic Claude Code</x:v>
      </x:c>
      <x:c r="Q17" s="36" t="str">
        <x:v>社区 skill、开源仓库</x:v>
      </x:c>
      <x:c r="R17" s="39" t="str">
        <x:v>MIT</x:v>
      </x:c>
      <x:c r="S17" s="41" t="n">
        <x:v>362</x:v>
      </x:c>
      <x:c r="T17" s="42" t="n">
        <x:v>46053</x:v>
      </x:c>
      <x:c r="U17" s="36" t="str">
        <x:v>https://github.com/claude-office-skills/skills/blob/main/md-to-office/SKILL.md</x:v>
      </x:c>
      <x:c r="V17" s="36" t="str">
        <x:v>https://github.com/claude-office-skills/skills</x:v>
      </x:c>
    </x:row>
    <x:row r="18" ht="92" customHeight="1">
      <x:c r="A18" s="37" t="n">
        <x:v>14</x:v>
      </x:c>
      <x:c r="B18" s="38" t="str">
        <x:v>02-06 Office 与 Markdown 互转</x:v>
      </x:c>
      <x:c r="C18" s="38" t="str">
        <x:v>Office 转 Markdown</x:v>
      </x:c>
      <x:c r="D18" s="35" t="str">
        <x:v>从 DOCX（Word 文档格式）、XLSX（Excel 工作簿格式）、PPTX（PowerPoint 演示文稿格式）等 Office 文件提取结构化 Markdown（用简单符号排版文本的格式）。</x:v>
      </x:c>
      <x:c r="E18" s="35" t="str">
        <x:v>适合图书馆人员、科研人员、行政人员、学生使用。</x:v>
      </x:c>
      <x:c r="F18" s="35" t="str">
        <x:v>适用于档案入库、课程材料检索、文档摘要与迁移。</x:v>
      </x:c>
      <x:c r="G18" s="35" t="str">
        <x:v>需要准备：Office 解析库或转换器。</x:v>
      </x:c>
      <x:c r="H18" s="35" t="str">
        <x:v>需要注意：复杂图形、批注和版式信息可能无法完整保留。</x:v>
      </x:c>
      <x:c r="I18" s="37" t="str">
        <x:v>中</x:v>
      </x:c>
      <x:c r="J18" s="37" t="str">
        <x:v>B｜少量调整</x:v>
      </x:c>
      <x:c r="K18" s="35" t="str">
        <x:v>经过少量调整后可以使用，常见调整包括更换工具、路径或账号设置。具体建议：接入 MarkItDown 或本地 Office 解析器；保留源文件链接。</x:v>
      </x:c>
      <x:c r="L18" s="35" t="str">
        <x:v>说明已核验：已核对用途与使用说明；本次未安装、未运行，不能据此判断实际效果。</x:v>
      </x:c>
      <x:c r="M18" s="39" t="str">
        <x:v>office-to-md</x:v>
      </x:c>
      <x:c r="N18" s="39" t="str">
        <x:v>GH-02-0014</x:v>
      </x:c>
      <x:c r="O18" s="36" t="str">
        <x:v>Office、Markdown、提取、知识库</x:v>
      </x:c>
      <x:c r="P18" s="36" t="str">
        <x:v>Anthropic Claude Code</x:v>
      </x:c>
      <x:c r="Q18" s="36" t="str">
        <x:v>社区 skill、开源仓库</x:v>
      </x:c>
      <x:c r="R18" s="39" t="str">
        <x:v>MIT</x:v>
      </x:c>
      <x:c r="S18" s="41" t="n">
        <x:v>362</x:v>
      </x:c>
      <x:c r="T18" s="42" t="n">
        <x:v>46053</x:v>
      </x:c>
      <x:c r="U18" s="36" t="str">
        <x:v>https://github.com/claude-office-skills/skills/blob/main/office-to-md/SKILL.md</x:v>
      </x:c>
      <x:c r="V18" s="36" t="str">
        <x:v>https://github.com/claude-office-skills/skills</x:v>
      </x:c>
    </x:row>
    <x:row r="19" ht="92" customHeight="1">
      <x:c r="A19" s="37" t="n">
        <x:v>15</x:v>
      </x:c>
      <x:c r="B19" s="38" t="str">
        <x:v>02-07 多格式批量转换与导出</x:v>
      </x:c>
      <x:c r="C19" s="38" t="str">
        <x:v>多格式批量转换</x:v>
      </x:c>
      <x:c r="D19" s="35" t="str">
        <x:v>通过统一流程批量转换多种办公文档格式。</x:v>
      </x:c>
      <x:c r="E19" s="35" t="str">
        <x:v>适合行政人员、图书馆人员、教学人员使用。</x:v>
      </x:c>
      <x:c r="F19" s="35" t="str">
        <x:v>适用于历史材料迁移、课程文件统一格式、档案批处理。</x:v>
      </x:c>
      <x:c r="G19" s="35" t="str">
        <x:v>需要准备：LibreOffice（可批量处理办公文档的软件）、Pandoc（转换多种文档格式的工具）或相应格式库。</x:v>
      </x:c>
      <x:c r="H19" s="35" t="str">
        <x:v>需要注意：转换可能丢失样式或嵌入对象（放在 Office 文件内的图片、图表或其他内容）；项目资料库没有提供可直接运行的专用小程序。</x:v>
      </x:c>
      <x:c r="I19" s="37" t="str">
        <x:v>中</x:v>
      </x:c>
      <x:c r="J19" s="37" t="str">
        <x:v>B｜少量调整</x:v>
      </x:c>
      <x:c r="K19" s="35" t="str">
        <x:v>经过少量调整后可以使用，常见调整包括更换工具、路径或账号设置。具体建议：需要绑定实际转换工具；先对副本运行并保存失败清单。</x:v>
      </x:c>
      <x:c r="L19" s="35" t="str">
        <x:v>说明已核验：已核对用途与使用说明；本次未安装、未运行，不能据此判断实际效果。</x:v>
      </x:c>
      <x:c r="M19" s="39" t="str">
        <x:v>batch-convert</x:v>
      </x:c>
      <x:c r="N19" s="39" t="str">
        <x:v>GH-02-0015</x:v>
      </x:c>
      <x:c r="O19" s="36" t="str">
        <x:v>批量转换、格式路由、文件队列</x:v>
      </x:c>
      <x:c r="P19" s="36" t="str">
        <x:v>Anthropic Claude Code</x:v>
      </x:c>
      <x:c r="Q19" s="36" t="str">
        <x:v>社区 skill、开源仓库</x:v>
      </x:c>
      <x:c r="R19" s="39" t="str">
        <x:v>MIT</x:v>
      </x:c>
      <x:c r="S19" s="41" t="n">
        <x:v>362</x:v>
      </x:c>
      <x:c r="T19" s="42" t="n">
        <x:v>46053</x:v>
      </x:c>
      <x:c r="U19" s="36" t="str">
        <x:v>https://github.com/claude-office-skills/skills/blob/main/batch-convert/SKILL.md</x:v>
      </x:c>
      <x:c r="V19" s="36" t="str">
        <x:v>https://github.com/claude-office-skills/skills</x:v>
      </x:c>
    </x:row>
    <x:row r="20" ht="92" customHeight="1">
      <x:c r="A20" s="37" t="n">
        <x:v>16</x:v>
      </x:c>
      <x:c r="B20" s="38" t="str">
        <x:v>02-08 Office 综合处理与流程自动化</x:v>
      </x:c>
      <x:c r="C20" s="38" t="str">
        <x:v>OfficeIMO 文档操作</x:v>
      </x:c>
      <x:c r="D20" s="35" t="str">
        <x:v>使用 OfficeIMO 检查、搜索、摘要、提取和转换本地文档。</x:v>
      </x:c>
      <x:c r="E20" s="35" t="str">
        <x:v>适合信息化人员、行政人员、图书馆人员使用。</x:v>
      </x:c>
      <x:c r="F20" s="35" t="str">
        <x:v>适用于本地多格式文档处理、无 COM（Windows 软件之间互相控制的方式）服务器流程。</x:v>
      </x:c>
      <x:c r="G20" s="35" t="str">
        <x:v>需要准备：.NET（微软的软件开发平台） 8+ 与 OfficeIMO CLI（通过输入命令操作软件的方式）/库。</x:v>
      </x:c>
      <x:c r="H20" s="35" t="str">
        <x:v>需要注意：格式覆盖广但特性支持不一；转换保真度需抽查。</x:v>
      </x:c>
      <x:c r="I20" s="37" t="str">
        <x:v>中</x:v>
      </x:c>
      <x:c r="J20" s="37" t="str">
        <x:v>B｜少量调整</x:v>
      </x:c>
      <x:c r="K20" s="35" t="str">
        <x:v>经过少量调整后可以使用，常见调整包括更换工具、路径或账号设置。具体建议：安装或提供 OfficeIMO CLI 后可用于 Codex；优先仅查看、不修改操作。</x:v>
      </x:c>
      <x:c r="L20" s="35" t="str">
        <x:v>说明已核验：已核对用途与使用说明；本次未安装、未运行，不能据此判断实际效果。</x:v>
      </x:c>
      <x:c r="M20" s="39" t="str">
        <x:v>officeimo-document-operator</x:v>
      </x:c>
      <x:c r="N20" s="39" t="str">
        <x:v>GH-02-0016</x:v>
      </x:c>
      <x:c r="O20" s="36" t="str">
        <x:v>OfficeIMO、DOCX、XLSX、PPTX、PDF、邮件</x:v>
      </x:c>
      <x:c r="P20" s="36" t="str">
        <x:v>OpenAI Codex / Agent Skills</x:v>
      </x:c>
      <x:c r="Q20" s="36" t="str">
        <x:v>社区 skill、开源仓库</x:v>
      </x:c>
      <x:c r="R20" s="39" t="str">
        <x:v>MIT</x:v>
      </x:c>
      <x:c r="S20" s="41" t="n">
        <x:v>499</x:v>
      </x:c>
      <x:c r="T20" s="42" t="n">
        <x:v>46240</x:v>
      </x:c>
      <x:c r="U20" s="36" t="str">
        <x:v>https://github.com/EvotecIT/OfficeIMO/blob/master/.agents/plugins/officeimo-document-tools/skills/officeimo-document-operator/SKILL.md</x:v>
      </x:c>
      <x:c r="V20" s="36" t="str">
        <x:v>https://github.com/EvotecIT/OfficeIMO</x:v>
      </x:c>
    </x:row>
    <x:row r="21" ht="92" customHeight="1">
      <x:c r="A21" s="37" t="n">
        <x:v>17</x:v>
      </x:c>
      <x:c r="B21" s="38" t="str">
        <x:v>02-07 多格式批量转换与导出</x:v>
      </x:c>
      <x:c r="C21" s="38" t="str">
        <x:v>Markdown 多格式导出</x:v>
      </x:c>
      <x:c r="D21" s="35" t="str">
        <x:v>将 Markdown（用简单符号排版文本的格式）导出为多种办公、数据和代码格式。</x:v>
      </x:c>
      <x:c r="E21" s="35" t="str">
        <x:v>适合学生、教学人员、科研人员、行政人员使用。</x:v>
      </x:c>
      <x:c r="F21" s="35" t="str">
        <x:v>适用于一份 Markdown 多渠道发布、报告与数据文件导出。</x:v>
      </x:c>
      <x:c r="G21" s="35" t="str">
        <x:v>需要准备：项目 CLI（通过输入命令操作软件的方式）/Dify 插件（给现有软件增加功能的小程序）及各格式依赖。</x:v>
      </x:c>
      <x:c r="H21" s="35" t="str">
        <x:v>需要注意：多格式覆盖不代表版式一致；每种目标都需单独验收。</x:v>
      </x:c>
      <x:c r="I21" s="37" t="str">
        <x:v>高</x:v>
      </x:c>
      <x:c r="J21" s="37" t="str">
        <x:v>B｜少量调整</x:v>
      </x:c>
      <x:c r="K21" s="35" t="str">
        <x:v>经过少量调整后可以使用，常见调整包括更换工具、路径或账号设置。具体建议：安装项目依赖并按目标格式选择导出器。</x:v>
      </x:c>
      <x:c r="L21" s="35" t="str">
        <x:v>说明已核验：已核对用途与使用说明；本次未安装、未运行，不能据此判断实际效果。</x:v>
      </x:c>
      <x:c r="M21" s="39" t="str">
        <x:v>markdown-exporter</x:v>
      </x:c>
      <x:c r="N21" s="39" t="str">
        <x:v>GH-02-0017</x:v>
      </x:c>
      <x:c r="O21" s="36" t="str">
        <x:v>Markdown、DOCX、PPTX、XLSX、PDF、导出</x:v>
      </x:c>
      <x:c r="P21" s="36" t="str">
        <x:v>Agent Skills / Dify</x:v>
      </x:c>
      <x:c r="Q21" s="36" t="str">
        <x:v>社区 skill、开源仓库</x:v>
      </x:c>
      <x:c r="R21" s="39" t="str">
        <x:v>Apache-2.0</x:v>
      </x:c>
      <x:c r="S21" s="41" t="n">
        <x:v>258</x:v>
      </x:c>
      <x:c r="T21" s="42" t="n">
        <x:v>46219</x:v>
      </x:c>
      <x:c r="U21" s="36" t="str">
        <x:v>https://github.com/bowenliang123/markdown-exporter/blob/main/SKILL.md</x:v>
      </x:c>
      <x:c r="V21" s="36" t="str">
        <x:v>https://github.com/bowenliang123/markdown-exporter</x:v>
      </x:c>
    </x:row>
    <x:row r="22" ht="92" customHeight="1">
      <x:c r="A22" s="37" t="n">
        <x:v>18</x:v>
      </x:c>
      <x:c r="B22" s="38" t="str">
        <x:v>02-03 PowerPoint 与学术演示制作</x:v>
      </x:c>
      <x:c r="C22" s="38" t="str">
        <x:v>论文转会议演示</x:v>
      </x:c>
      <x:c r="D22" s="35" t="str">
        <x:v>把 AI 研究论文转为会议级演示文稿。</x:v>
      </x:c>
      <x:c r="E22" s="35" t="str">
        <x:v>适合学生、科研人员、教学人员使用。</x:v>
      </x:c>
      <x:c r="F22" s="35" t="str">
        <x:v>适用于论文分享、会议报告、组会和答辩。</x:v>
      </x:c>
      <x:c r="G22" s="35" t="str">
        <x:v>需要准备：PPTX（PowerPoint 演示文稿格式）生成与 PDF（常用的固定版式文档格式）/图像生成预览的工具。</x:v>
      </x:c>
      <x:c r="H22" s="35" t="str">
        <x:v>需要注意：自动提取图表需检查版权、分辨率和科学语境。</x:v>
      </x:c>
      <x:c r="I22" s="37" t="str">
        <x:v>高</x:v>
      </x:c>
      <x:c r="J22" s="37" t="str">
        <x:v>B｜少量调整</x:v>
      </x:c>
      <x:c r="K22" s="35" t="str">
        <x:v>经过少量调整后可以使用，常见调整包括更换工具、路径或账号设置。具体建议：调整 Codex 演示运行环境；用本地论文和授权图片。</x:v>
      </x:c>
      <x:c r="L22" s="35" t="str">
        <x:v>说明已核验：已核对用途与使用说明；本次未安装、未运行，不能据此判断实际效果。</x:v>
      </x:c>
      <x:c r="M22" s="39" t="str">
        <x:v>ai-paper2slide-skill</x:v>
      </x:c>
      <x:c r="N22" s="39" t="str">
        <x:v>GH-02-0018</x:v>
      </x:c>
      <x:c r="O22" s="36" t="str">
        <x:v>论文转 PPT、学术演讲、讲者备注、图表</x:v>
      </x:c>
      <x:c r="P22" s="36" t="str">
        <x:v>Agent Skills</x:v>
      </x:c>
      <x:c r="Q22" s="36" t="str">
        <x:v>社区 skill、开源仓库</x:v>
      </x:c>
      <x:c r="R22" s="39" t="str">
        <x:v>MIT</x:v>
      </x:c>
      <x:c r="S22" s="41" t="n">
        <x:v>95</x:v>
      </x:c>
      <x:c r="T22" s="42" t="n">
        <x:v>46211</x:v>
      </x:c>
      <x:c r="U22" s="36" t="str">
        <x:v>https://github.com/Leo1998-Lu/ai-paper2slide-skill/blob/main/SKILL.md</x:v>
      </x:c>
      <x:c r="V22" s="36" t="str">
        <x:v>https://github.com/Leo1998-Lu/ai-paper2slide-skill</x:v>
      </x:c>
    </x:row>
    <x:row r="23" ht="92" customHeight="1">
      <x:c r="A23" s="37" t="n">
        <x:v>19</x:v>
      </x:c>
      <x:c r="B23" s="38" t="str">
        <x:v>02-02 Excel 表格制作与分析</x:v>
      </x:c>
      <x:c r="C23" s="38" t="str">
        <x:v>Windows 原生 Excel 自动化</x:v>
      </x:c>
      <x:c r="D23" s="35" t="str">
        <x:v>在 Windows 上通过 Microsoft Excel COM（Windows 软件之间互相控制的方式）刷新、重算和验证工作簿。</x:v>
      </x:c>
      <x:c r="E23" s="35" t="str">
        <x:v>适合行政人员、科研人员、信息化人员使用。</x:v>
      </x:c>
      <x:c r="F23" s="35" t="str">
        <x:v>适用于复杂公式重算、现有连接刷新、Excel 环境自检。</x:v>
      </x:c>
      <x:c r="G23" s="35" t="str">
        <x:v>需要准备：Windows、Microsoft 365 Excel、COM。</x:v>
      </x:c>
      <x:c r="H23" s="35" t="str">
        <x:v>需要注意：会操作真实 Excel 会话；宏执行和 Power Query M 编辑不在支持范围。</x:v>
      </x:c>
      <x:c r="I23" s="37" t="str">
        <x:v>高</x:v>
      </x:c>
      <x:c r="J23" s="37" t="str">
        <x:v>A｜调整少</x:v>
      </x:c>
      <x:c r="K23" s="35" t="str">
        <x:v>基本可以直接放入现有 AI 工作台使用，但仍需按本校制度和工具设置进行检查。具体建议：Windows 且安装桌面 Excel 时可直接使用；限制为指定工作簿。</x:v>
      </x:c>
      <x:c r="L23" s="35" t="str">
        <x:v>说明已核验：已核对用途与使用说明；本次未安装、未运行，不能据此判断实际效果。</x:v>
      </x:c>
      <x:c r="M23" s="39" t="str">
        <x:v>xlsx-win</x:v>
      </x:c>
      <x:c r="N23" s="39" t="str">
        <x:v>GH-02-0019</x:v>
      </x:c>
      <x:c r="O23" s="36" t="str">
        <x:v>Windows、Excel COM、刷新、重算、数据透视</x:v>
      </x:c>
      <x:c r="P23" s="36" t="str">
        <x:v>OpenAI Codex、Anthropic Claude Code</x:v>
      </x:c>
      <x:c r="Q23" s="36" t="str">
        <x:v>社区 skill、开源仓库</x:v>
      </x:c>
      <x:c r="R23" s="39" t="str">
        <x:v>MIT</x:v>
      </x:c>
      <x:c r="S23" s="41" t="n">
        <x:v>18</x:v>
      </x:c>
      <x:c r="T23" s="42" t="n">
        <x:v>46237</x:v>
      </x:c>
      <x:c r="U23" s="36" t="str">
        <x:v>https://github.com/dachent/skills/blob/main/xlsx-win/SKILL.md</x:v>
      </x:c>
      <x:c r="V23" s="36" t="str">
        <x:v>https://github.com/dachent/skills</x:v>
      </x:c>
    </x:row>
    <x:row r="24" ht="92" customHeight="1">
      <x:c r="A24" s="37" t="n">
        <x:v>20</x:v>
      </x:c>
      <x:c r="B24" s="38" t="str">
        <x:v>02-02 Excel 表格制作与分析</x:v>
      </x:c>
      <x:c r="C24" s="38" t="str">
        <x:v>复杂工作簿审查与编辑</x:v>
      </x:c>
      <x:c r="D24" s="35" t="str">
        <x:v>分析、调试、核对并验证复杂 Excel 或连接型表格。</x:v>
      </x:c>
      <x:c r="E24" s="35" t="str">
        <x:v>适合行政人员、科研人员、信息化人员使用。</x:v>
      </x:c>
      <x:c r="F24" s="35" t="str">
        <x:v>适用于复杂台账审计、模板调试、跨表公式追踪。</x:v>
      </x:c>
      <x:c r="G24" s="35" t="str">
        <x:v>需要准备：Excel/Sheets 工具；视任务使用脚本。</x:v>
      </x:c>
      <x:c r="H24" s="35" t="str">
        <x:v>需要注意：范围很宽，执行前需限制文件和写入边界。</x:v>
      </x:c>
      <x:c r="I24" s="37" t="str">
        <x:v>中</x:v>
      </x:c>
      <x:c r="J24" s="37" t="str">
        <x:v>B｜少量调整</x:v>
      </x:c>
      <x:c r="K24" s="35" t="str">
        <x:v>经过少量调整后可以使用，常见调整包括更换工具、路径或账号设置。具体建议：去除 Google Sheets 特定部分也可独立用于本地 Excel。</x:v>
      </x:c>
      <x:c r="L24" s="35" t="str">
        <x:v>说明已核验：已核对用途与使用说明；本次未安装、未运行，不能据此判断实际效果。</x:v>
      </x:c>
      <x:c r="M24" s="39" t="str">
        <x:v>spreadsheet-processing</x:v>
      </x:c>
      <x:c r="N24" s="39" t="str">
        <x:v>GH-02-0020</x:v>
      </x:c>
      <x:c r="O24" s="36" t="str">
        <x:v>工作簿审查、公式数据流、命名范围、证据包</x:v>
      </x:c>
      <x:c r="P24" s="36" t="str">
        <x:v>Anthropic Claude Code / Agent Skills</x:v>
      </x:c>
      <x:c r="Q24" s="36" t="str">
        <x:v>社区 skill、开源仓库</x:v>
      </x:c>
      <x:c r="R24" s="39" t="str">
        <x:v>MIT</x:v>
      </x:c>
      <x:c r="S24" s="41" t="n">
        <x:v>0</x:v>
      </x:c>
      <x:c r="T24" s="42" t="n">
        <x:v>46202</x:v>
      </x:c>
      <x:c r="U24" s="36" t="str">
        <x:v>https://github.com/kangminlee-maker/excel-workbook-editing/blob/main/SKILL.md</x:v>
      </x:c>
      <x:c r="V24" s="36" t="str">
        <x:v>https://github.com/kangminlee-maker/excel-workbook-editing</x:v>
      </x:c>
    </x:row>
    <x:row r="25" ht="92" customHeight="1">
      <x:c r="A25" s="37" t="n">
        <x:v>21</x:v>
      </x:c>
      <x:c r="B25" s="38" t="str">
        <x:v>02-09 文档无障碍检查与修复</x:v>
      </x:c>
      <x:c r="C25" s="38" t="str">
        <x:v>文档无障碍审查向导</x:v>
      </x:c>
      <x:c r="D25" s="35" t="str">
        <x:v>引导式审查 Office 文档和 PDF（常用的固定版式文档格式）的无障碍问题。</x:v>
      </x:c>
      <x:c r="E25" s="35" t="str">
        <x:v>适合教学人员、行政人员、学生支持人员、信息化人员使用。</x:v>
      </x:c>
      <x:c r="F25" s="35" t="str">
        <x:v>适用于课程材料、网站附件、行政通知和报告的无障碍审查。</x:v>
      </x:c>
      <x:c r="G25" s="35" t="str">
        <x:v>需要准备：多个专项无障碍 AI 技能和文档解析工具。</x:v>
      </x:c>
      <x:c r="H25" s="35" t="str">
        <x:v>需要注意：自动审查不能替代辅助技术用户测试；扫描目录需严格限界。</x:v>
      </x:c>
      <x:c r="I25" s="37" t="str">
        <x:v>高</x:v>
      </x:c>
      <x:c r="J25" s="37" t="str">
        <x:v>B｜少量调整</x:v>
      </x:c>
      <x:c r="K25" s="35" t="str">
        <x:v>经过少量调整后可以使用，常见调整包括更换工具、路径或账号设置。具体建议：需要将子代理使用对应到当前 Codex 能力；规则可直接复用。</x:v>
      </x:c>
      <x:c r="L25" s="35" t="str">
        <x:v>说明已核验：已核对用途与使用说明；本次未安装、未运行，不能据此判断实际效果。</x:v>
      </x:c>
      <x:c r="M25" s="39" t="str">
        <x:v>document-accessibility-wizard</x:v>
      </x:c>
      <x:c r="N25" s="39" t="str">
        <x:v>GH-02-0021</x:v>
      </x:c>
      <x:c r="O25" s="36" t="str">
        <x:v>无障碍、DOCX、XLSX、PPTX、PDF、批量扫描</x:v>
      </x:c>
      <x:c r="P25" s="36" t="str">
        <x:v>OpenAI Codex</x:v>
      </x:c>
      <x:c r="Q25" s="36" t="str">
        <x:v>社区 skill、开源仓库</x:v>
      </x:c>
      <x:c r="R25" s="39" t="str">
        <x:v>MIT</x:v>
      </x:c>
      <x:c r="S25" s="41" t="n">
        <x:v>382</x:v>
      </x:c>
      <x:c r="T25" s="42" t="n">
        <x:v>46238</x:v>
      </x:c>
      <x:c r="U25" s="36" t="str">
        <x:v>https://github.com/Community-Access/accessibility-agents/blob/main/codex-skills/document-accessibility-wizard/SKILL.md</x:v>
      </x:c>
      <x:c r="V25" s="36" t="str">
        <x:v>https://github.com/Community-Access/accessibility-agents</x:v>
      </x:c>
    </x:row>
    <x:row r="26" ht="92" customHeight="1">
      <x:c r="A26" s="37" t="n">
        <x:v>22</x:v>
      </x:c>
      <x:c r="B26" s="38" t="str">
        <x:v>02-09 文档无障碍检查与修复</x:v>
      </x:c>
      <x:c r="C26" s="38" t="str">
        <x:v>Office 无障碍修复</x:v>
      </x:c>
      <x:c r="D26" s="35" t="str">
        <x:v>为 Word、Excel 和 PowerPoint 生成可执行的无障碍修复方案。</x:v>
      </x:c>
      <x:c r="E26" s="35" t="str">
        <x:v>适合教学人员、行政人员、信息化人员使用。</x:v>
      </x:c>
      <x:c r="F26" s="35" t="str">
        <x:v>适用于修复标题结构、替代文本、表格和阅读顺序问题。</x:v>
      </x:c>
      <x:c r="G26" s="35" t="str">
        <x:v>需要由技术人员准备用于处理 Word、Excel 和 PowerPoint 的软件；部分问题仍要在 Office 界面中人工修复。</x:v>
      </x:c>
      <x:c r="H26" s="35" t="str">
        <x:v>需要注意：通过程序自动修复覆盖有限，视觉和屏幕阅读器体验需人工验证。</x:v>
      </x:c>
      <x:c r="I26" s="37" t="str">
        <x:v>高</x:v>
      </x:c>
      <x:c r="J26" s="37" t="str">
        <x:v>B｜少量调整</x:v>
      </x:c>
      <x:c r="K26" s="35" t="str">
        <x:v>经过少量调整后可以使用，常见调整包括更换工具、路径或账号设置。具体建议：将 Gemini 扩展路径改造成 Codex AI 技能，并保留人工修复清单。</x:v>
      </x:c>
      <x:c r="L26" s="35" t="str">
        <x:v>说明已核验：已核对用途与使用说明；本次未安装、未运行，不能据此判断实际效果。</x:v>
      </x:c>
      <x:c r="M26" s="39" t="str">
        <x:v>Office Remediator</x:v>
      </x:c>
      <x:c r="N26" s="39" t="str">
        <x:v>GH-02-0022</x:v>
      </x:c>
      <x:c r="O26" s="36" t="str">
        <x:v>无障碍修复、Word、Excel、PowerPoint</x:v>
      </x:c>
      <x:c r="P26" s="36" t="str">
        <x:v>Gemini CLI / Agent Skills</x:v>
      </x:c>
      <x:c r="Q26" s="36" t="str">
        <x:v>社区 skill、开源仓库</x:v>
      </x:c>
      <x:c r="R26" s="39" t="str">
        <x:v>MIT</x:v>
      </x:c>
      <x:c r="S26" s="41" t="n">
        <x:v>382</x:v>
      </x:c>
      <x:c r="T26" s="42" t="n">
        <x:v>46238</x:v>
      </x:c>
      <x:c r="U26" s="36" t="str">
        <x:v>https://github.com/Community-Access/accessibility-agents/blob/main/.gemini/extensions/a11y-agents/skills/office-remediator/SKILL.md</x:v>
      </x:c>
      <x:c r="V26" s="36" t="str">
        <x:v>https://github.com/Community-Access/accessibility-agents</x:v>
      </x:c>
    </x:row>
  </x:sheetData>
  <x:mergeCells>
    <x:mergeCell ref="A1:V1"/>
    <x:mergeCell ref="A2:V2"/>
    <x:mergeCell ref="A3:L3"/>
    <x:mergeCell ref="M3:V3"/>
  </x:mergeCells>
  <x:conditionalFormatting sqref="I5:I2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2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  <x:hyperlink ref="U8" r:id="rIdHyperlink7"/>
    <x:hyperlink ref="V8" r:id="rIdHyperlink8"/>
    <x:hyperlink ref="U9" r:id="rIdHyperlink9"/>
    <x:hyperlink ref="V9" r:id="rIdHyperlink10"/>
    <x:hyperlink ref="U10" r:id="rIdHyperlink11"/>
    <x:hyperlink ref="V10" r:id="rIdHyperlink12"/>
    <x:hyperlink ref="U11" r:id="rIdHyperlink13"/>
    <x:hyperlink ref="V11" r:id="rIdHyperlink14"/>
    <x:hyperlink ref="U12" r:id="rIdHyperlink15"/>
    <x:hyperlink ref="V12" r:id="rIdHyperlink16"/>
    <x:hyperlink ref="U13" r:id="rIdHyperlink17"/>
    <x:hyperlink ref="V13" r:id="rIdHyperlink18"/>
    <x:hyperlink ref="U14" r:id="rIdHyperlink19"/>
    <x:hyperlink ref="V14" r:id="rIdHyperlink20"/>
    <x:hyperlink ref="U15" r:id="rIdHyperlink21"/>
    <x:hyperlink ref="V15" r:id="rIdHyperlink22"/>
    <x:hyperlink ref="U16" r:id="rIdHyperlink23"/>
    <x:hyperlink ref="V16" r:id="rIdHyperlink24"/>
    <x:hyperlink ref="U17" r:id="rIdHyperlink25"/>
    <x:hyperlink ref="V17" r:id="rIdHyperlink26"/>
    <x:hyperlink ref="U18" r:id="rIdHyperlink27"/>
    <x:hyperlink ref="V18" r:id="rIdHyperlink28"/>
    <x:hyperlink ref="U19" r:id="rIdHyperlink29"/>
    <x:hyperlink ref="V19" r:id="rIdHyperlink30"/>
    <x:hyperlink ref="U20" r:id="rIdHyperlink31"/>
    <x:hyperlink ref="V20" r:id="rIdHyperlink32"/>
    <x:hyperlink ref="U21" r:id="rIdHyperlink33"/>
    <x:hyperlink ref="V21" r:id="rIdHyperlink34"/>
    <x:hyperlink ref="U22" r:id="rIdHyperlink35"/>
    <x:hyperlink ref="V22" r:id="rIdHyperlink36"/>
    <x:hyperlink ref="U23" r:id="rIdHyperlink37"/>
    <x:hyperlink ref="V23" r:id="rIdHyperlink38"/>
    <x:hyperlink ref="U24" r:id="rIdHyperlink39"/>
    <x:hyperlink ref="V24" r:id="rIdHyperlink40"/>
    <x:hyperlink ref="U25" r:id="rIdHyperlink41"/>
    <x:hyperlink ref="V25" r:id="rIdHyperlink42"/>
    <x:hyperlink ref="U26" r:id="rIdHyperlink43"/>
    <x:hyperlink ref="V26" r:id="rIdHyperlink44"/>
  </x:hyperlinks>
  <x:tableParts count="1">
    <x:tablePart xmlns:r="http://schemas.openxmlformats.org/officeDocument/2006/relationships" r:id="R259cc5f21ebf49b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4" max="4" width="24" hidden="0" customWidth="1"/>
    <x:col min="7" max="7" width="24" hidden="0" customWidth="1"/>
    <x:col min="2" max="2" width="12" hidden="0" customWidth="1"/>
    <x:col min="5" max="5" width="12" hidden="0" customWidth="1"/>
    <x:col min="8" max="8" width="12" hidden="0" customWidth="1"/>
  </x:cols>
  <x:sheetData>
    <x:row r="1" ht="40" customHeight="1">
      <x:c r="A1" s="3" t="str">
        <x:v>文档、表格、演示文稿与办公自动化｜大分类总览｜分类统计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COUNTA('AI技能清单'!$N$5:$N$26)</x:f>
        <x:v>22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小分类</x:v>
      </x:c>
      <x:c r="B5" s="50" t="str">
        <x:v>数量</x:v>
      </x:c>
      <x:c r="C5" s="51"/>
      <x:c r="D5" s="50" t="str">
        <x:v>推荐程度</x:v>
      </x:c>
      <x:c r="E5" s="50" t="str">
        <x:v>数量</x:v>
      </x:c>
      <x:c r="F5" s="51"/>
      <x:c r="G5" s="50" t="str">
        <x:v>接入难度</x:v>
      </x:c>
      <x:c r="H5" s="50" t="str">
        <x:v>数量</x:v>
      </x:c>
    </x:row>
    <x:row r="6">
      <x:c r="A6" s="47" t="str">
        <x:v>02-01 Word 文档制作与修改</x:v>
      </x:c>
      <x:c r="B6" s="52" t="n">
        <x:f>COUNTIF('AI技能清单'!$B$5:$B$26,A6)</x:f>
        <x:v>2</x:v>
      </x:c>
      <x:c r="C6" s="51"/>
      <x:c r="D6" s="52" t="str">
        <x:v>高</x:v>
      </x:c>
      <x:c r="E6" s="52" t="n">
        <x:f>COUNTIF('AI技能清单'!$I$5:$I$26,D6)</x:f>
        <x:v>13</x:v>
      </x:c>
      <x:c r="F6" s="51"/>
      <x:c r="G6" s="52" t="str">
        <x:v>A｜调整少</x:v>
      </x:c>
      <x:c r="H6" s="52" t="n">
        <x:f>COUNTIF('AI技能清单'!$J$5:$J$26,G6)</x:f>
        <x:v>4</x:v>
      </x:c>
    </x:row>
    <x:row r="7">
      <x:c r="A7" s="47" t="str">
        <x:v>02-02 Excel 表格制作与分析</x:v>
      </x:c>
      <x:c r="B7" s="52" t="n">
        <x:f>COUNTIF('AI技能清单'!$B$5:$B$26,A7)</x:f>
        <x:v>4</x:v>
      </x:c>
      <x:c r="C7" s="51"/>
      <x:c r="D7" s="52" t="str">
        <x:v>中</x:v>
      </x:c>
      <x:c r="E7" s="52" t="n">
        <x:f>COUNTIF('AI技能清单'!$I$5:$I$26,D7)</x:f>
        <x:v>9</x:v>
      </x:c>
      <x:c r="F7" s="51"/>
      <x:c r="G7" s="52" t="str">
        <x:v>B｜少量调整</x:v>
      </x:c>
      <x:c r="H7" s="52" t="n">
        <x:f>COUNTIF('AI技能清单'!$J$5:$J$26,G7)</x:f>
        <x:v>18</x:v>
      </x:c>
    </x:row>
    <x:row r="8">
      <x:c r="A8" s="47" t="str">
        <x:v>02-03 PowerPoint 与学术演示制作</x:v>
      </x:c>
      <x:c r="B8" s="52" t="n">
        <x:f>COUNTIF('AI技能清单'!$B$5:$B$26,A8)</x:f>
        <x:v>5</x:v>
      </x:c>
      <x:c r="C8" s="51"/>
      <x:c r="D8" s="52" t="str">
        <x:v>其他</x:v>
      </x:c>
      <x:c r="E8" s="52" t="n">
        <x:f>COUNTIF('AI技能清单'!$I$5:$I$26,"&lt;&gt;高")-COUNTIF('AI技能清单'!$I$5:$I$26,"中")</x:f>
        <x:v>0</x:v>
      </x:c>
      <x:c r="F8" s="51"/>
      <x:c r="G8" s="52" t="str">
        <x:v>C｜较多调整</x:v>
      </x:c>
      <x:c r="H8" s="52" t="n">
        <x:f>COUNTIF('AI技能清单'!$J$5:$J$26,G8)</x:f>
        <x:v>0</x:v>
      </x:c>
    </x:row>
    <x:row r="9">
      <x:c r="A9" s="47" t="str">
        <x:v>02-04 PDF 读取、整理与生成</x:v>
      </x:c>
      <x:c r="B9" s="52" t="n">
        <x:f>COUNTIF('AI技能清单'!$B$5:$B$26,A9)</x:f>
        <x:v>2</x:v>
      </x:c>
      <x:c r="C9" s="51"/>
      <x:c r="D9" s="51"/>
      <x:c r="E9" s="51"/>
      <x:c r="F9" s="51"/>
      <x:c r="G9" s="52" t="str">
        <x:v>D｜仅参考</x:v>
      </x:c>
      <x:c r="H9" s="52" t="n">
        <x:f>COUNTIF('AI技能清单'!$J$5:$J$26,G9)</x:f>
        <x:v>0</x:v>
      </x:c>
    </x:row>
    <x:row r="10">
      <x:c r="A10" s="47" t="str">
        <x:v>02-05 文档共创与需求梳理</x:v>
      </x:c>
      <x:c r="B10" s="52" t="n">
        <x:f>COUNTIF('AI技能清单'!$B$5:$B$26,A10)</x:f>
        <x:v>1</x:v>
      </x:c>
      <x:c r="C10" s="51"/>
      <x:c r="D10" s="51"/>
      <x:c r="E10" s="51"/>
      <x:c r="F10" s="51"/>
      <x:c r="G10" s="51"/>
      <x:c r="H10" s="51"/>
    </x:row>
    <x:row r="11">
      <x:c r="A11" s="47" t="str">
        <x:v>02-06 Office 与 Markdown 互转</x:v>
      </x:c>
      <x:c r="B11" s="52" t="n">
        <x:f>COUNTIF('AI技能清单'!$B$5:$B$26,A11)</x:f>
        <x:v>3</x:v>
      </x:c>
      <x:c r="C11" s="51"/>
      <x:c r="D11" s="51"/>
      <x:c r="E11" s="51"/>
      <x:c r="F11" s="51"/>
      <x:c r="G11" s="51"/>
      <x:c r="H11" s="51"/>
    </x:row>
    <x:row r="12">
      <x:c r="A12" s="47" t="str">
        <x:v>02-07 多格式批量转换与导出</x:v>
      </x:c>
      <x:c r="B12" s="52" t="n">
        <x:f>COUNTIF('AI技能清单'!$B$5:$B$26,A12)</x:f>
        <x:v>2</x:v>
      </x:c>
      <x:c r="C12" s="51"/>
      <x:c r="D12" s="51"/>
      <x:c r="E12" s="51"/>
      <x:c r="F12" s="51"/>
      <x:c r="G12" s="51"/>
      <x:c r="H12" s="51"/>
    </x:row>
    <x:row r="13">
      <x:c r="A13" s="47" t="str">
        <x:v>02-08 Office 综合处理与流程自动化</x:v>
      </x:c>
      <x:c r="B13" s="52" t="n">
        <x:f>COUNTIF('AI技能清单'!$B$5:$B$26,A13)</x:f>
        <x:v>1</x:v>
      </x:c>
      <x:c r="C13" s="51"/>
      <x:c r="D13" s="51"/>
      <x:c r="E13" s="51"/>
      <x:c r="F13" s="51"/>
      <x:c r="G13" s="51"/>
      <x:c r="H13" s="51"/>
    </x:row>
    <x:row r="14">
      <x:c r="A14" s="47" t="str">
        <x:v>02-09 文档无障碍检查与修复</x:v>
      </x:c>
      <x:c r="B14" s="52" t="n">
        <x:f>COUNTIF('AI技能清单'!$B$5:$B$26,A14)</x:f>
        <x:v>2</x:v>
      </x:c>
      <x:c r="C14" s="51"/>
      <x:c r="D14" s="51"/>
      <x:c r="E14" s="51"/>
      <x:c r="F14" s="51"/>
      <x:c r="G14" s="51"/>
      <x:c r="H14" s="51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文档、表格、演示文稿与办公自动化｜大分类总览｜来源清单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Community-Access/accessibility-agents</x:v>
      </x:c>
      <x:c r="B5" s="35" t="str">
        <x:v>https://github.com/Community-Access/accessibility-agents</x:v>
      </x:c>
      <x:c r="C5" s="35" t="str">
        <x:v>社区 skill、开源仓库</x:v>
      </x:c>
      <x:c r="D5" s="35" t="str">
        <x:v>MIT</x:v>
      </x:c>
      <x:c r="E5" s="56" t="n">
        <x:v>382</x:v>
      </x:c>
      <x:c r="F5" s="57" t="n">
        <x:v>46238</x:v>
      </x:c>
      <x:c r="G5" s="38" t="n">
        <x:f>COUNTIF('AI技能清单'!$V$5:$V$26,B5)</x:f>
        <x:v>2</x:v>
      </x:c>
    </x:row>
    <x:row r="6" ht="68" customHeight="1">
      <x:c r="A6" s="35" t="str">
        <x:v>EvotecIT/OfficeIMO</x:v>
      </x:c>
      <x:c r="B6" s="35" t="str">
        <x:v>https://github.com/EvotecIT/OfficeIMO</x:v>
      </x:c>
      <x:c r="C6" s="35" t="str">
        <x:v>社区 skill、开源仓库</x:v>
      </x:c>
      <x:c r="D6" s="35" t="str">
        <x:v>MIT</x:v>
      </x:c>
      <x:c r="E6" s="56" t="n">
        <x:v>499</x:v>
      </x:c>
      <x:c r="F6" s="57" t="n">
        <x:v>46240</x:v>
      </x:c>
      <x:c r="G6" s="38" t="n">
        <x:f>COUNTIF('AI技能清单'!$V$5:$V$26,B6)</x:f>
        <x:v>1</x:v>
      </x:c>
    </x:row>
    <x:row r="7" ht="68" customHeight="1">
      <x:c r="A7" s="35" t="str">
        <x:v>K-Dense-AI/scientific-agent-skills</x:v>
      </x:c>
      <x:c r="B7" s="35" t="str">
        <x:v>https://github.com/K-Dense-AI/scientific-agent-skills</x:v>
      </x:c>
      <x:c r="C7" s="35" t="str">
        <x:v>社区 skill、开源仓库</x:v>
      </x:c>
      <x:c r="D7" s="35" t="str">
        <x:v>MIT</x:v>
      </x:c>
      <x:c r="E7" s="56" t="n">
        <x:v>32822</x:v>
      </x:c>
      <x:c r="F7" s="57" t="n">
        <x:v>46237</x:v>
      </x:c>
      <x:c r="G7" s="38" t="n">
        <x:f>COUNTIF('AI技能清单'!$V$5:$V$26,B7)</x:f>
        <x:v>2</x:v>
      </x:c>
    </x:row>
    <x:row r="8" ht="68" customHeight="1">
      <x:c r="A8" s="35" t="str">
        <x:v>Leo1998-Lu/ai-paper2slide-skill</x:v>
      </x:c>
      <x:c r="B8" s="35" t="str">
        <x:v>https://github.com/Leo1998-Lu/ai-paper2slide-skill</x:v>
      </x:c>
      <x:c r="C8" s="35" t="str">
        <x:v>社区 skill、开源仓库</x:v>
      </x:c>
      <x:c r="D8" s="35" t="str">
        <x:v>MIT</x:v>
      </x:c>
      <x:c r="E8" s="56" t="n">
        <x:v>95</x:v>
      </x:c>
      <x:c r="F8" s="57" t="n">
        <x:v>46211</x:v>
      </x:c>
      <x:c r="G8" s="38" t="n">
        <x:f>COUNTIF('AI技能清单'!$V$5:$V$26,B8)</x:f>
        <x:v>1</x:v>
      </x:c>
    </x:row>
    <x:row r="9" ht="68" customHeight="1">
      <x:c r="A9" s="35" t="str">
        <x:v>anthropics/skills</x:v>
      </x:c>
      <x:c r="B9" s="35" t="str">
        <x:v>https://github.com/anthropics/skills</x:v>
      </x:c>
      <x:c r="C9" s="35" t="str">
        <x:v>官方发布、开源仓库</x:v>
      </x:c>
      <x:c r="D9" s="35" t="str">
        <x:v>各技能目录独立许可证</x:v>
      </x:c>
      <x:c r="E9" s="56" t="n">
        <x:v>166590</x:v>
      </x:c>
      <x:c r="F9" s="57" t="n">
        <x:v>46227</x:v>
      </x:c>
      <x:c r="G9" s="38" t="n">
        <x:f>COUNTIF('AI技能清单'!$V$5:$V$26,B9)</x:f>
        <x:v>5</x:v>
      </x:c>
    </x:row>
    <x:row r="10" ht="68" customHeight="1">
      <x:c r="A10" s="35" t="str">
        <x:v>bowenliang123/markdown-exporter</x:v>
      </x:c>
      <x:c r="B10" s="35" t="str">
        <x:v>https://github.com/bowenliang123/markdown-exporter</x:v>
      </x:c>
      <x:c r="C10" s="35" t="str">
        <x:v>社区 skill、开源仓库</x:v>
      </x:c>
      <x:c r="D10" s="35" t="str">
        <x:v>Apache-2.0</x:v>
      </x:c>
      <x:c r="E10" s="56" t="n">
        <x:v>258</x:v>
      </x:c>
      <x:c r="F10" s="57" t="n">
        <x:v>46219</x:v>
      </x:c>
      <x:c r="G10" s="38" t="n">
        <x:f>COUNTIF('AI技能清单'!$V$5:$V$26,B10)</x:f>
        <x:v>1</x:v>
      </x:c>
    </x:row>
    <x:row r="11" ht="68" customHeight="1">
      <x:c r="A11" s="35" t="str">
        <x:v>claude-office-skills/skills</x:v>
      </x:c>
      <x:c r="B11" s="35" t="str">
        <x:v>https://github.com/claude-office-skills/skills</x:v>
      </x:c>
      <x:c r="C11" s="35" t="str">
        <x:v>社区 skill、开源仓库</x:v>
      </x:c>
      <x:c r="D11" s="35" t="str">
        <x:v>MIT</x:v>
      </x:c>
      <x:c r="E11" s="56" t="n">
        <x:v>362</x:v>
      </x:c>
      <x:c r="F11" s="57" t="n">
        <x:v>46053</x:v>
      </x:c>
      <x:c r="G11" s="38" t="n">
        <x:f>COUNTIF('AI技能清单'!$V$5:$V$26,B11)</x:f>
        <x:v>6</x:v>
      </x:c>
    </x:row>
    <x:row r="12" ht="68" customHeight="1">
      <x:c r="A12" s="35" t="str">
        <x:v>dachent/skills</x:v>
      </x:c>
      <x:c r="B12" s="35" t="str">
        <x:v>https://github.com/dachent/skills</x:v>
      </x:c>
      <x:c r="C12" s="35" t="str">
        <x:v>社区 skill、开源仓库</x:v>
      </x:c>
      <x:c r="D12" s="35" t="str">
        <x:v>MIT</x:v>
      </x:c>
      <x:c r="E12" s="56" t="n">
        <x:v>18</x:v>
      </x:c>
      <x:c r="F12" s="57" t="n">
        <x:v>46237</x:v>
      </x:c>
      <x:c r="G12" s="38" t="n">
        <x:f>COUNTIF('AI技能清单'!$V$5:$V$26,B12)</x:f>
        <x:v>1</x:v>
      </x:c>
    </x:row>
    <x:row r="13" ht="68" customHeight="1">
      <x:c r="A13" s="35" t="str">
        <x:v>kangminlee-maker/excel-workbook-editing</x:v>
      </x:c>
      <x:c r="B13" s="35" t="str">
        <x:v>https://github.com/kangminlee-maker/excel-workbook-editing</x:v>
      </x:c>
      <x:c r="C13" s="35" t="str">
        <x:v>社区 skill、开源仓库</x:v>
      </x:c>
      <x:c r="D13" s="35" t="str">
        <x:v>MIT</x:v>
      </x:c>
      <x:c r="E13" s="56" t="n">
        <x:v>0</x:v>
      </x:c>
      <x:c r="F13" s="57" t="n">
        <x:v>46202</x:v>
      </x:c>
      <x:c r="G13" s="38" t="n">
        <x:f>COUNTIF('AI技能清单'!$V$5:$V$26,B13)</x:f>
        <x:v>1</x:v>
      </x:c>
    </x:row>
    <x:row r="14" ht="68" customHeight="1">
      <x:c r="A14" s="35" t="str">
        <x:v>openai/skills</x:v>
      </x:c>
      <x:c r="B14" s="35" t="str">
        <x:v>https://github.com/openai/skills</x:v>
      </x:c>
      <x:c r="C14" s="35" t="str">
        <x:v>官方发布、开源仓库</x:v>
      </x:c>
      <x:c r="D14" s="35" t="str">
        <x:v>各技能目录独立许可证</x:v>
      </x:c>
      <x:c r="E14" s="56" t="n">
        <x:v>24564</x:v>
      </x:c>
      <x:c r="F14" s="57" t="n">
        <x:v>46217</x:v>
      </x:c>
      <x:c r="G14" s="38" t="n">
        <x:f>COUNTIF('AI技能清单'!$V$5:$V$26,B14)</x:f>
        <x:v>1</x:v>
      </x:c>
    </x:row>
    <x:row r="15" ht="68" customHeight="1">
      <x:c r="A15" s="35" t="str">
        <x:v>zLanqing/codex-claude-academic-skills</x:v>
      </x:c>
      <x:c r="B15" s="35" t="str">
        <x:v>https://github.com/zLanqing/codex-claude-academic-skills</x:v>
      </x:c>
      <x:c r="C15" s="35" t="str">
        <x:v>社区 skill、开源仓库</x:v>
      </x:c>
      <x:c r="D15" s="35" t="str">
        <x:v>MIT</x:v>
      </x:c>
      <x:c r="E15" s="56" t="n">
        <x:v>2613</x:v>
      </x:c>
      <x:c r="F15" s="57" t="n">
        <x:v>46156</x:v>
      </x:c>
      <x:c r="G15" s="38" t="n">
        <x:f>COUNTIF('AI技能清单'!$V$5:$V$26,B15)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  <x:hyperlink ref="B7" r:id="rIdHyperlink3"/>
    <x:hyperlink ref="B8" r:id="rIdHyperlink4"/>
    <x:hyperlink ref="B9" r:id="rIdHyperlink5"/>
    <x:hyperlink ref="B10" r:id="rIdHyperlink6"/>
    <x:hyperlink ref="B11" r:id="rIdHyperlink7"/>
    <x:hyperlink ref="B12" r:id="rIdHyperlink8"/>
    <x:hyperlink ref="B13" r:id="rIdHyperlink9"/>
    <x:hyperlink ref="B14" r:id="rIdHyperlink10"/>
    <x:hyperlink ref="B15" r:id="rIdHyperlink11"/>
  </x:hyperlinks>
  <x:tableParts count="1">
    <x:tablePart xmlns:r="http://schemas.openxmlformats.org/officeDocument/2006/relationships" r:id="Re3654248f79c48f0"/>
  </x:tableParts>
</x:worksheet>
</file>