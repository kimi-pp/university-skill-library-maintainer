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1e5a5e289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da044b437df4ed7"/>
    <x:sheet xmlns:r="http://schemas.openxmlformats.org/officeDocument/2006/relationships" name="AI技能清单" sheetId="2" r:id="Rf74d42f1251d4829"/>
    <x:sheet xmlns:r="http://schemas.openxmlformats.org/officeDocument/2006/relationships" name="分类统计" sheetId="3" r:id="R77f1163389894ab6"/>
    <x:sheet xmlns:r="http://schemas.openxmlformats.org/officeDocument/2006/relationships" name="来源清单" sheetId="4" r:id="R60e2715d3d35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ebab61c424930" /><Relationship Type="http://schemas.openxmlformats.org/officeDocument/2006/relationships/theme" Target="/xl/theme/theme1.xml" Id="Rfc3275f42d35420b" /><Relationship Type="http://schemas.openxmlformats.org/officeDocument/2006/relationships/sharedStrings" Target="/xl/sharedStrings.xml" Id="R65ad2ec38db44f7c" /><Relationship Type="http://schemas.openxmlformats.org/officeDocument/2006/relationships/worksheet" Target="/xl/worksheets/sheet1.xml" Id="Rbda044b437df4ed7" /><Relationship Type="http://schemas.openxmlformats.org/officeDocument/2006/relationships/worksheet" Target="/xl/worksheets/sheet2.xml" Id="Rf74d42f1251d4829" /><Relationship Type="http://schemas.openxmlformats.org/officeDocument/2006/relationships/worksheet" Target="/xl/worksheets/sheet3.xml" Id="R77f1163389894ab6" /><Relationship Type="http://schemas.openxmlformats.org/officeDocument/2006/relationships/worksheet" Target="/xl/worksheets/sheet4.xml" Id="R60e2715d3d354ae8" /></Relationships>
</file>

<file path=xl/tables/table1.xml><?xml version="1.0" encoding="utf-8"?>
<x:table xmlns:x="http://schemas.openxmlformats.org/spreadsheetml/2006/main" id="1" name="SkillTable04overview" displayName="SkillTable04overview" ref="A4:V33" headerRowCount="1" totalsRowCount="0" totalsRowShown="0">
  <x:autoFilter ref="A4:V33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overview" displayName="SourceTable04overview" ref="A4:G16" headerRowCount="1" totalsRowCount="0" totalsRowShown="0">
  <x:autoFilter ref="A4:G1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64ea1a1548494e" /><Relationship Id="rIdHyperlink1" Type="http://schemas.openxmlformats.org/officeDocument/2006/relationships/hyperlink" Target="https://github.com/Tibsfox/gsd-skill-creator/blob/main/examples/skills/reading/information-literacy/SKILL.md" TargetMode="External" /><Relationship Id="rIdHyperlink2" Type="http://schemas.openxmlformats.org/officeDocument/2006/relationships/hyperlink" Target="https://github.com/Tibsfox/gsd-skill-creator" TargetMode="External" /><Relationship Id="rIdHyperlink3" Type="http://schemas.openxmlformats.org/officeDocument/2006/relationships/hyperlink" Target="https://github.com/Tibsfox/gsd-skill-creator/blob/main/examples/skills/digital-literacy/information-evaluation/SKILL.md" TargetMode="External" /><Relationship Id="rIdHyperlink4" Type="http://schemas.openxmlformats.org/officeDocument/2006/relationships/hyperlink" Target="https://github.com/Tibsfox/gsd-skill-creator" TargetMode="External" /><Relationship Id="rIdHyperlink5" Type="http://schemas.openxmlformats.org/officeDocument/2006/relationships/hyperlink" Target="https://github.com/Tibsfox/gsd-skill-creator/blob/main/examples/skills/communication/media-literacy/SKILL.md" TargetMode="External" /><Relationship Id="rIdHyperlink6" Type="http://schemas.openxmlformats.org/officeDocument/2006/relationships/hyperlink" Target="https://github.com/Tibsfox/gsd-skill-creator" TargetMode="External" /><Relationship Id="rIdHyperlink7" Type="http://schemas.openxmlformats.org/officeDocument/2006/relationships/hyperlink" Target="https://github.com/Tibsfox/gsd-skill-creator/blob/main/examples/skills/history/source-analysis/SKILL.md" TargetMode="External" /><Relationship Id="rIdHyperlink8" Type="http://schemas.openxmlformats.org/officeDocument/2006/relationships/hyperlink" Target="https://github.com/Tibsfox/gsd-skill-creator" TargetMode="External" /><Relationship Id="rIdHyperlink9" Type="http://schemas.openxmlformats.org/officeDocument/2006/relationships/hyperlink" Target="https://github.com/AhmedAnwar-Gazy/latex_templet/blob/main/.agents/skills/research-information-literacy/SKILL.md" TargetMode="External" /><Relationship Id="rIdHyperlink10" Type="http://schemas.openxmlformats.org/officeDocument/2006/relationships/hyperlink" Target="https://github.com/AhmedAnwar-Gazy/latex_templet" TargetMode="External" /><Relationship Id="rIdHyperlink11" Type="http://schemas.openxmlformats.org/officeDocument/2006/relationships/hyperlink" Target="https://github.com/lionelsimai/claude-skills-collection/blob/main/skills/digital-library-plan/SKILL.md" TargetMode="External" /><Relationship Id="rIdHyperlink12" Type="http://schemas.openxmlformats.org/officeDocument/2006/relationships/hyperlink" Target="https://github.com/lionelsimai/claude-skills-collection" TargetMode="External" /><Relationship Id="rIdHyperlink13" Type="http://schemas.openxmlformats.org/officeDocument/2006/relationships/hyperlink" Target="https://github.com/lionelsimai/claude-skills-collection/blob/main/skills/library-outreach-plan/SKILL.md" TargetMode="External" /><Relationship Id="rIdHyperlink14" Type="http://schemas.openxmlformats.org/officeDocument/2006/relationships/hyperlink" Target="https://github.com/lionelsimai/claude-skills-collection" TargetMode="External" /><Relationship Id="rIdHyperlink15" Type="http://schemas.openxmlformats.org/officeDocument/2006/relationships/hyperlink" Target="https://github.com/lionelsimai/claude-skills-collection/blob/main/skills/library-program-design/SKILL.md" TargetMode="External" /><Relationship Id="rIdHyperlink16" Type="http://schemas.openxmlformats.org/officeDocument/2006/relationships/hyperlink" Target="https://github.com/lionelsimai/claude-skills-collection" TargetMode="External" /><Relationship Id="rIdHyperlink17" Type="http://schemas.openxmlformats.org/officeDocument/2006/relationships/hyperlink" Target="https://github.com/lionelsimai/claude-skills-collection/blob/main/skills/library-technology-plan/SKILL.md" TargetMode="External" /><Relationship Id="rIdHyperlink18" Type="http://schemas.openxmlformats.org/officeDocument/2006/relationships/hyperlink" Target="https://github.com/lionelsimai/claude-skills-collection" TargetMode="External" /><Relationship Id="rIdHyperlink19" Type="http://schemas.openxmlformats.org/officeDocument/2006/relationships/hyperlink" Target="https://github.com/lionelsimai/claude-skills-collection/blob/main/skills/media-literacy-program/SKILL.md" TargetMode="External" /><Relationship Id="rIdHyperlink20" Type="http://schemas.openxmlformats.org/officeDocument/2006/relationships/hyperlink" Target="https://github.com/lionelsimai/claude-skills-collection" TargetMode="External" /><Relationship Id="rIdHyperlink21" Type="http://schemas.openxmlformats.org/officeDocument/2006/relationships/hyperlink" Target="https://github.com/lionelsimai/claude-skills-collection/blob/main/skills/fact-checking-protocol/SKILL.md" TargetMode="External" /><Relationship Id="rIdHyperlink22" Type="http://schemas.openxmlformats.org/officeDocument/2006/relationships/hyperlink" Target="https://github.com/lionelsimai/claude-skills-collection" TargetMode="External" /><Relationship Id="rIdHyperlink23" Type="http://schemas.openxmlformats.org/officeDocument/2006/relationships/hyperlink" Target="https://github.com/lionelsimai/claude-skills-collection/blob/main/skills/data-literacy-program/SKILL.md" TargetMode="External" /><Relationship Id="rIdHyperlink24" Type="http://schemas.openxmlformats.org/officeDocument/2006/relationships/hyperlink" Target="https://github.com/lionelsimai/claude-skills-collection" TargetMode="External" /><Relationship Id="rIdHyperlink25" Type="http://schemas.openxmlformats.org/officeDocument/2006/relationships/hyperlink" Target="https://github.com/lionelsimai/claude-skills-collection/blob/main/skills/source-management/SKILL.md" TargetMode="External" /><Relationship Id="rIdHyperlink26" Type="http://schemas.openxmlformats.org/officeDocument/2006/relationships/hyperlink" Target="https://github.com/lionelsimai/claude-skills-collection" TargetMode="External" /><Relationship Id="rIdHyperlink27" Type="http://schemas.openxmlformats.org/officeDocument/2006/relationships/hyperlink" Target="https://github.com/ASI2030/Fact-Check-X/blob/main/skills/fact-check-x-unified/SKILL.md" TargetMode="External" /><Relationship Id="rIdHyperlink28" Type="http://schemas.openxmlformats.org/officeDocument/2006/relationships/hyperlink" Target="https://github.com/ASI2030/Fact-Check-X" TargetMode="External" /><Relationship Id="rIdHyperlink29" Type="http://schemas.openxmlformats.org/officeDocument/2006/relationships/hyperlink" Target="https://github.com/ASI2030/Fact-Check-X/blob/main/skills/fact-check-x-authoritative-verify/SKILL.md" TargetMode="External" /><Relationship Id="rIdHyperlink30" Type="http://schemas.openxmlformats.org/officeDocument/2006/relationships/hyperlink" Target="https://github.com/ASI2030/Fact-Check-X" TargetMode="External" /><Relationship Id="rIdHyperlink31" Type="http://schemas.openxmlformats.org/officeDocument/2006/relationships/hyperlink" Target="https://github.com/SamaritanOC/fact-checker/blob/main/SKILL.md" TargetMode="External" /><Relationship Id="rIdHyperlink32" Type="http://schemas.openxmlformats.org/officeDocument/2006/relationships/hyperlink" Target="https://github.com/SamaritanOC/fact-checker" TargetMode="External" /><Relationship Id="rIdHyperlink33" Type="http://schemas.openxmlformats.org/officeDocument/2006/relationships/hyperlink" Target="https://github.com/wentorai/research-plugins/blob/main/skills/literature/fulltext/institutional-repository-guide/SKILL.md" TargetMode="External" /><Relationship Id="rIdHyperlink34" Type="http://schemas.openxmlformats.org/officeDocument/2006/relationships/hyperlink" Target="https://github.com/wentorai/research-plugins" TargetMode="External" /><Relationship Id="rIdHyperlink35" Type="http://schemas.openxmlformats.org/officeDocument/2006/relationships/hyperlink" Target="https://github.com/wentorai/research-plugins/blob/main/skills/literature/search/worldcat-search-api/SKILL.md" TargetMode="External" /><Relationship Id="rIdHyperlink36" Type="http://schemas.openxmlformats.org/officeDocument/2006/relationships/hyperlink" Target="https://github.com/wentorai/research-plugins" TargetMode="External" /><Relationship Id="rIdHyperlink37" Type="http://schemas.openxmlformats.org/officeDocument/2006/relationships/hyperlink" Target="https://github.com/wentorai/research-plugins/blob/main/skills/research/funding/open-science-guide/SKILL.md" TargetMode="External" /><Relationship Id="rIdHyperlink38" Type="http://schemas.openxmlformats.org/officeDocument/2006/relationships/hyperlink" Target="https://github.com/wentorai/research-plugins" TargetMode="External" /><Relationship Id="rIdHyperlink39" Type="http://schemas.openxmlformats.org/officeDocument/2006/relationships/hyperlink" Target="https://github.com/wentorai/research-plugins/blob/main/skills/tools/scraping/repository-harvesting-guide/SKILL.md" TargetMode="External" /><Relationship Id="rIdHyperlink40" Type="http://schemas.openxmlformats.org/officeDocument/2006/relationships/hyperlink" Target="https://github.com/wentorai/research-plugins" TargetMode="External" /><Relationship Id="rIdHyperlink41" Type="http://schemas.openxmlformats.org/officeDocument/2006/relationships/hyperlink" Target="https://github.com/wentorai/research-plugins/blob/main/skills/research/funding/figshare-api/SKILL.md" TargetMode="External" /><Relationship Id="rIdHyperlink42" Type="http://schemas.openxmlformats.org/officeDocument/2006/relationships/hyperlink" Target="https://github.com/wentorai/research-plugins" TargetMode="External" /><Relationship Id="rIdHyperlink43" Type="http://schemas.openxmlformats.org/officeDocument/2006/relationships/hyperlink" Target="https://github.com/wentorai/research-plugins/blob/main/skills/literature/fulltext/pmc-oai-api/SKILL.md" TargetMode="External" /><Relationship Id="rIdHyperlink44" Type="http://schemas.openxmlformats.org/officeDocument/2006/relationships/hyperlink" Target="https://github.com/wentorai/research-plugins" TargetMode="External" /><Relationship Id="rIdHyperlink45" Type="http://schemas.openxmlformats.org/officeDocument/2006/relationships/hyperlink" Target="https://github.com/wu-yc/LabClaw/blob/main/skills/general/fair-data/SKILL.md" TargetMode="External" /><Relationship Id="rIdHyperlink46" Type="http://schemas.openxmlformats.org/officeDocument/2006/relationships/hyperlink" Target="https://github.com/wu-yc/LabClaw" TargetMode="External" /><Relationship Id="rIdHyperlink47" Type="http://schemas.openxmlformats.org/officeDocument/2006/relationships/hyperlink" Target="https://github.com/scdenney/open-science-skills/blob/main/codex/fair-check/SKILL.md" TargetMode="External" /><Relationship Id="rIdHyperlink48" Type="http://schemas.openxmlformats.org/officeDocument/2006/relationships/hyperlink" Target="https://github.com/scdenney/open-science-skills" TargetMode="External" /><Relationship Id="rIdHyperlink49" Type="http://schemas.openxmlformats.org/officeDocument/2006/relationships/hyperlink" Target="https://github.com/dandye/ai-runbooks/blob/main/skills/design-metadata-schema/SKILL.md" TargetMode="External" /><Relationship Id="rIdHyperlink50" Type="http://schemas.openxmlformats.org/officeDocument/2006/relationships/hyperlink" Target="https://github.com/dandye/ai-runbooks" TargetMode="External" /><Relationship Id="rIdHyperlink51" Type="http://schemas.openxmlformats.org/officeDocument/2006/relationships/hyperlink" Target="https://github.com/Albert-Libra/nanobot-zotero-bridge/blob/master/SKILL.md" TargetMode="External" /><Relationship Id="rIdHyperlink52" Type="http://schemas.openxmlformats.org/officeDocument/2006/relationships/hyperlink" Target="https://github.com/Albert-Libra/nanobot-zotero-bridge" TargetMode="External" /><Relationship Id="rIdHyperlink53" Type="http://schemas.openxmlformats.org/officeDocument/2006/relationships/hyperlink" Target="https://github.com/K-Dense-AI/scientific-agent-skills/blob/main/skills/ontology-term-resolution/SKILL.md" TargetMode="External" /><Relationship Id="rIdHyperlink54" Type="http://schemas.openxmlformats.org/officeDocument/2006/relationships/hyperlink" Target="https://github.com/K-Dense-AI/scientific-agent-skills" TargetMode="External" /><Relationship Id="rIdHyperlink55" Type="http://schemas.openxmlformats.org/officeDocument/2006/relationships/hyperlink" Target="https://github.com/K-Dense-AI/scientific-agent-skills/blob/main/skills/labarchive-integration/SKILL.md" TargetMode="External" /><Relationship Id="rIdHyperlink56" Type="http://schemas.openxmlformats.org/officeDocument/2006/relationships/hyperlink" Target="https://github.com/K-Dense-AI/scientific-agent-skills" TargetMode="External" /><Relationship Id="rIdHyperlink57" Type="http://schemas.openxmlformats.org/officeDocument/2006/relationships/hyperlink" Target="https://github.com/zotero/translators/blob/master/.agent/skills/develop-web-translator/SKILL.md" TargetMode="External" /><Relationship Id="rIdHyperlink58" Type="http://schemas.openxmlformats.org/officeDocument/2006/relationships/hyperlink" Target="https://github.com/zotero/translator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291b530b4a4ff2" /><Relationship Id="rIdHyperlink1" Type="http://schemas.openxmlformats.org/officeDocument/2006/relationships/hyperlink" Target="https://github.com/ASI2030/Fact-Check-X" TargetMode="External" /><Relationship Id="rIdHyperlink2" Type="http://schemas.openxmlformats.org/officeDocument/2006/relationships/hyperlink" Target="https://github.com/AhmedAnwar-Gazy/latex_templet" TargetMode="External" /><Relationship Id="rIdHyperlink3" Type="http://schemas.openxmlformats.org/officeDocument/2006/relationships/hyperlink" Target="https://github.com/Albert-Libra/nanobot-zotero-bridge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SamaritanOC/fact-checker" TargetMode="External" /><Relationship Id="rIdHyperlink6" Type="http://schemas.openxmlformats.org/officeDocument/2006/relationships/hyperlink" Target="https://github.com/Tibsfox/gsd-skill-creator" TargetMode="External" /><Relationship Id="rIdHyperlink7" Type="http://schemas.openxmlformats.org/officeDocument/2006/relationships/hyperlink" Target="https://github.com/dandye/ai-runbooks" TargetMode="External" /><Relationship Id="rIdHyperlink8" Type="http://schemas.openxmlformats.org/officeDocument/2006/relationships/hyperlink" Target="https://github.com/lionelsimai/claude-skills-collection" TargetMode="External" /><Relationship Id="rIdHyperlink9" Type="http://schemas.openxmlformats.org/officeDocument/2006/relationships/hyperlink" Target="https://github.com/scdenney/open-science-skills" TargetMode="External" /><Relationship Id="rIdHyperlink10" Type="http://schemas.openxmlformats.org/officeDocument/2006/relationships/hyperlink" Target="https://github.com/wentorai/research-plugins" TargetMode="External" /><Relationship Id="rIdHyperlink11" Type="http://schemas.openxmlformats.org/officeDocument/2006/relationships/hyperlink" Target="https://github.com/wu-yc/LabClaw" TargetMode="External" /><Relationship Id="rIdHyperlink12" Type="http://schemas.openxmlformats.org/officeDocument/2006/relationships/hyperlink" Target="https://github.com/zotero/translator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图书馆与信息素养｜大分类总览</x:v>
      </x:c>
      <x:c r="B1" s="3"/>
      <x:c r="C1" s="3"/>
      <x:c r="D1" s="3"/>
    </x:row>
    <x:row r="2" ht="28" customHeight="1">
      <x:c r="A2" s="7" t="str">
        <x:v>通俗细分版｜数据日期 2026-08-07｜收录 29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图书馆与信息素养｜大分类总览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29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04-01 基础信息素养与研究入门</x:v>
      </x:c>
      <x:c r="C5" s="38" t="str">
        <x:v>信息素养与研究流程</x:v>
      </x:c>
      <x:c r="D5" s="35" t="str">
        <x:v>用分阶段流程训练从研究问题到检索、评价、综合和规范归因的信息素养。</x:v>
      </x:c>
      <x:c r="E5" s="35" t="str">
        <x:v>适合学生、教师、图书馆人员使用。</x:v>
      </x:c>
      <x:c r="F5" s="35" t="str">
        <x:v>适用于信息素养课程、读者培训、图书馆项目与服务设计。</x:v>
      </x:c>
      <x:c r="G5" s="35" t="str">
        <x:v>无需额外安装工具；需要先准备本校资源信息和使用对象需求。</x:v>
      </x:c>
      <x:c r="H5" s="35" t="str">
        <x:v>需要注意：内容较通用或较轻量，不能替代本校政策、专业馆员判断和学习成效评估。项目资料库许可证未明确或无法由 GitHub 自动识别，采用前需单独核验。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经过少量调整后可以使用，常见调整包括更换工具、路径或账号设置。具体建议：可作为课程或服务模板，需补充本校资源、制度、学习目标和评价量规。</x:v>
      </x:c>
      <x:c r="L5" s="35" t="str">
        <x:v>说明已核验：已核对用途与使用说明；本次未安装、未运行，不能据此判断实际效果。</x:v>
      </x:c>
      <x:c r="M5" s="39" t="str">
        <x:v>information-literacy</x:v>
      </x:c>
      <x:c r="N5" s="39" t="str">
        <x:v>GH-04-0001</x:v>
      </x:c>
      <x:c r="O5" s="36" t="str">
        <x:v>信息素养、研究问题、来源评估、引用</x:v>
      </x:c>
      <x:c r="P5" s="36" t="str">
        <x:v>Agent Skills 社区示例</x:v>
      </x:c>
      <x:c r="Q5" s="36" t="str">
        <x:v>社区 skill、GitHub 公开仓库（许可证待核）</x:v>
      </x:c>
      <x:c r="R5" s="39" t="str">
        <x:v>NOASSERTION</x:v>
      </x:c>
      <x:c r="S5" s="41" t="n">
        <x:v>69</x:v>
      </x:c>
      <x:c r="T5" s="42" t="n">
        <x:v>46222</x:v>
      </x:c>
      <x:c r="U5" s="36" t="str">
        <x:v>https://github.com/Tibsfox/gsd-skill-creator/blob/main/examples/skills/reading/information-literacy/SKILL.md</x:v>
      </x:c>
      <x:c r="V5" s="36" t="str">
        <x:v>https://github.com/Tibsfox/gsd-skill-creator</x:v>
      </x:c>
    </x:row>
    <x:row r="6" ht="92" customHeight="1">
      <x:c r="A6" s="37" t="n">
        <x:v>2</x:v>
      </x:c>
      <x:c r="B6" s="38" t="str">
        <x:v>04-02 信息来源判断与史料分析</x:v>
      </x:c>
      <x:c r="C6" s="38" t="str">
        <x:v>网络信息评价与横向阅读</x:v>
      </x:c>
      <x:c r="D6" s="35" t="str">
        <x:v>运用 SIFT（先停下、查来源、找更好报道、追溯原始依据的核查方法）、横向阅读和反向图像检索快速判断网络信息与来源可信度。</x:v>
      </x:c>
      <x:c r="E6" s="35" t="str">
        <x:v>适合学生、教师、科研人员、图书馆与宣传人员使用。</x:v>
      </x:c>
      <x:c r="F6" s="35" t="str">
        <x:v>适用于课程信息辨识、新闻与网络主张核验、来源教育。</x:v>
      </x:c>
      <x:c r="G6" s="35" t="str">
        <x:v>需要准备：网络检索；必要时使用网页归档或反向图像检索。</x:v>
      </x:c>
      <x:c r="H6" s="35" t="str">
        <x:v>需要注意：检索不到不等于主张为假；恶意网页内容、时效性和来源偏差需单独处理。项目资料库许可证未明确或无法由 GitHub 自动识别，采用前需单独核验。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6" s="35" t="str">
        <x:v>说明已核验：已核对用途与使用说明；本次未安装、未运行，不能据此判断实际效果。</x:v>
      </x:c>
      <x:c r="M6" s="39" t="str">
        <x:v>information-evaluation</x:v>
      </x:c>
      <x:c r="N6" s="39" t="str">
        <x:v>GH-04-0002</x:v>
      </x:c>
      <x:c r="O6" s="36" t="str">
        <x:v>SIFT、横向阅读、来源评价、反向检索</x:v>
      </x:c>
      <x:c r="P6" s="36" t="str">
        <x:v>Agent Skills 社区示例</x:v>
      </x:c>
      <x:c r="Q6" s="36" t="str">
        <x:v>社区 skill、GitHub 公开仓库（许可证待核）</x:v>
      </x:c>
      <x:c r="R6" s="39" t="str">
        <x:v>NOASSERTION</x:v>
      </x:c>
      <x:c r="S6" s="41" t="n">
        <x:v>69</x:v>
      </x:c>
      <x:c r="T6" s="42" t="n">
        <x:v>46222</x:v>
      </x:c>
      <x:c r="U6" s="36" t="str">
        <x:v>https://github.com/Tibsfox/gsd-skill-creator/blob/main/examples/skills/digital-literacy/information-evaluation/SKILL.md</x:v>
      </x:c>
      <x:c r="V6" s="36" t="str">
        <x:v>https://github.com/Tibsfox/gsd-skill-creator</x:v>
      </x:c>
    </x:row>
    <x:row r="7" ht="92" customHeight="1">
      <x:c r="A7" s="37" t="n">
        <x:v>3</x:v>
      </x:c>
      <x:c r="B7" s="38" t="str">
        <x:v>04-03 媒体与新闻素养教育</x:v>
      </x:c>
      <x:c r="C7" s="38" t="str">
        <x:v>媒体与新闻素养</x:v>
      </x:c>
      <x:c r="D7" s="35" t="str">
        <x:v>分析媒介形式、新闻框架（组织工作步骤和配套工具的一套结构）、算法分发和受众解码，提升媒体内容辨识能力。</x:v>
      </x:c>
      <x:c r="E7" s="35" t="str">
        <x:v>适合学生、教师、图书馆人员使用。</x:v>
      </x:c>
      <x:c r="F7" s="35" t="str">
        <x:v>适用于信息素养课程、读者培训、图书馆项目与服务设计。</x:v>
      </x:c>
      <x:c r="G7" s="35" t="str">
        <x:v>无需额外安装工具；需要先准备本校资源信息和使用对象需求。</x:v>
      </x:c>
      <x:c r="H7" s="35" t="str">
        <x:v>需要注意：内容较通用或较轻量，不能替代本校政策、专业馆员判断和学习成效评估。项目资料库许可证未明确或无法由 GitHub 自动识别，采用前需单独核验。</x:v>
      </x:c>
      <x:c r="I7" s="37" t="str">
        <x:v>中</x:v>
      </x:c>
      <x:c r="J7" s="37" t="str">
        <x:v>B｜少量调整</x:v>
      </x:c>
      <x:c r="K7" s="35" t="str">
        <x:v>经过少量调整后可以使用，常见调整包括更换工具、路径或账号设置。具体建议：可作为课程或服务模板，需补充本校资源、制度、学习目标和评价量规。</x:v>
      </x:c>
      <x:c r="L7" s="35" t="str">
        <x:v>说明已核验：已核对用途与使用说明；本次未安装、未运行，不能据此判断实际效果。</x:v>
      </x:c>
      <x:c r="M7" s="39" t="str">
        <x:v>media-literacy</x:v>
      </x:c>
      <x:c r="N7" s="39" t="str">
        <x:v>GH-04-0003</x:v>
      </x:c>
      <x:c r="O7" s="36" t="str">
        <x:v>媒体生态、框架分析、新闻素养、算法意识</x:v>
      </x:c>
      <x:c r="P7" s="36" t="str">
        <x:v>Agent Skills 社区示例</x:v>
      </x:c>
      <x:c r="Q7" s="36" t="str">
        <x:v>社区 skill、GitHub 公开仓库（许可证待核）</x:v>
      </x:c>
      <x:c r="R7" s="39" t="str">
        <x:v>NOASSERTION</x:v>
      </x:c>
      <x:c r="S7" s="41" t="n">
        <x:v>69</x:v>
      </x:c>
      <x:c r="T7" s="42" t="n">
        <x:v>46222</x:v>
      </x:c>
      <x:c r="U7" s="36" t="str">
        <x:v>https://github.com/Tibsfox/gsd-skill-creator/blob/main/examples/skills/communication/media-literacy/SKILL.md</x:v>
      </x:c>
      <x:c r="V7" s="36" t="str">
        <x:v>https://github.com/Tibsfox/gsd-skill-creator</x:v>
      </x:c>
    </x:row>
    <x:row r="8" ht="92" customHeight="1">
      <x:c r="A8" s="37" t="n">
        <x:v>4</x:v>
      </x:c>
      <x:c r="B8" s="38" t="str">
        <x:v>04-02 信息来源判断与史料分析</x:v>
      </x:c>
      <x:c r="C8" s="38" t="str">
        <x:v>一手与二手资料分析</x:v>
      </x:c>
      <x:c r="D8" s="35" t="str">
        <x:v>用来源类型、作者、语境、目的和相互印证框架（组织工作步骤和配套工具的一套结构）分析一手与二手资料。</x:v>
      </x:c>
      <x:c r="E8" s="35" t="str">
        <x:v>适合学生、教师、科研人员、图书馆与宣传人员使用。</x:v>
      </x:c>
      <x:c r="F8" s="35" t="str">
        <x:v>适用于课程信息辨识、新闻与网络主张核验、来源教育。</x:v>
      </x:c>
      <x:c r="G8" s="35" t="str">
        <x:v>需要准备：网络检索；必要时使用网页归档或反向图像检索。</x:v>
      </x:c>
      <x:c r="H8" s="35" t="str">
        <x:v>需要注意：检索不到不等于主张为假；恶意网页内容、时效性和来源偏差需单独处理。项目资料库许可证未明确或无法由 GitHub 自动识别，采用前需单独核验。</x:v>
      </x:c>
      <x:c r="I8" s="37" t="str">
        <x:v>高</x:v>
      </x:c>
      <x:c r="J8" s="37" t="str">
        <x:v>B｜少量调整</x:v>
      </x:c>
      <x:c r="K8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8" s="35" t="str">
        <x:v>说明已核验：已核对用途与使用说明；本次未安装、未运行，不能据此判断实际效果。</x:v>
      </x:c>
      <x:c r="M8" s="39" t="str">
        <x:v>source-analysis</x:v>
      </x:c>
      <x:c r="N8" s="39" t="str">
        <x:v>GH-04-0004</x:v>
      </x:c>
      <x:c r="O8" s="36" t="str">
        <x:v>史料分析、来源语境、作者目的、证据</x:v>
      </x:c>
      <x:c r="P8" s="36" t="str">
        <x:v>Agent Skills 社区示例</x:v>
      </x:c>
      <x:c r="Q8" s="36" t="str">
        <x:v>社区 skill、GitHub 公开仓库（许可证待核）</x:v>
      </x:c>
      <x:c r="R8" s="39" t="str">
        <x:v>NOASSERTION</x:v>
      </x:c>
      <x:c r="S8" s="41" t="n">
        <x:v>69</x:v>
      </x:c>
      <x:c r="T8" s="42" t="n">
        <x:v>46222</x:v>
      </x:c>
      <x:c r="U8" s="36" t="str">
        <x:v>https://github.com/Tibsfox/gsd-skill-creator/blob/main/examples/skills/history/source-analysis/SKILL.md</x:v>
      </x:c>
      <x:c r="V8" s="36" t="str">
        <x:v>https://github.com/Tibsfox/gsd-skill-creator</x:v>
      </x:c>
    </x:row>
    <x:row r="9" ht="92" customHeight="1">
      <x:c r="A9" s="37" t="n">
        <x:v>5</x:v>
      </x:c>
      <x:c r="B9" s="38" t="str">
        <x:v>04-01 基础信息素养与研究入门</x:v>
      </x:c>
      <x:c r="C9" s="38" t="str">
        <x:v>研究与信息素养综合指南</x:v>
      </x:c>
      <x:c r="D9" s="35" t="str">
        <x:v>把数据库高级检索、来源评价、文献综合、研究方法和引文管理汇总为入门指南。</x:v>
      </x:c>
      <x:c r="E9" s="35" t="str">
        <x:v>适合学生、教师、图书馆人员使用。</x:v>
      </x:c>
      <x:c r="F9" s="35" t="str">
        <x:v>适用于信息素养课程、读者培训、图书馆项目与服务设计。</x:v>
      </x:c>
      <x:c r="G9" s="35" t="str">
        <x:v>无需额外安装工具；需要先准备本校资源信息和使用对象需求。</x:v>
      </x:c>
      <x:c r="H9" s="35" t="str">
        <x:v>需要注意：内容较通用或较轻量，不能替代本校政策、专业馆员判断和学习成效评估。项目资料库许可证未明确或无法由 GitHub 自动识别，采用前需单独核验。</x:v>
      </x:c>
      <x:c r="I9" s="37" t="str">
        <x:v>中</x:v>
      </x:c>
      <x:c r="J9" s="37" t="str">
        <x:v>B｜少量调整</x:v>
      </x:c>
      <x:c r="K9" s="35" t="str">
        <x:v>经过少量调整后可以使用，常见调整包括更换工具、路径或账号设置。具体建议：可作为课程或服务模板，需补充本校资源、制度、学习目标和评价量规。</x:v>
      </x:c>
      <x:c r="L9" s="35" t="str">
        <x:v>说明已核验：已核对用途与使用说明；本次未安装、未运行，不能据此判断实际效果。</x:v>
      </x:c>
      <x:c r="M9" s="39" t="str">
        <x:v>research-information-literacy</x:v>
      </x:c>
      <x:c r="N9" s="39" t="str">
        <x:v>GH-04-0005</x:v>
      </x:c>
      <x:c r="O9" s="36" t="str">
        <x:v>数据库检索、文献综合、研究方法、引文管理</x:v>
      </x:c>
      <x:c r="P9" s="36" t="str">
        <x:v>Agent Skills（.agents 目录）</x:v>
      </x:c>
      <x:c r="Q9" s="36" t="str">
        <x:v>社区 skill、GitHub 公开仓库（许可证待核）</x:v>
      </x:c>
      <x:c r="R9" s="39" t="str">
        <x:v>未明确</x:v>
      </x:c>
      <x:c r="S9" s="41" t="n">
        <x:v>1</x:v>
      </x:c>
      <x:c r="T9" s="42" t="n">
        <x:v>46150</x:v>
      </x:c>
      <x:c r="U9" s="36" t="str">
        <x:v>https://github.com/AhmedAnwar-Gazy/latex_templet/blob/main/.agents/skills/research-information-literacy/SKILL.md</x:v>
      </x:c>
      <x:c r="V9" s="36" t="str">
        <x:v>https://github.com/AhmedAnwar-Gazy/latex_templet</x:v>
      </x:c>
    </x:row>
    <x:row r="10" ht="92" customHeight="1">
      <x:c r="A10" s="37" t="n">
        <x:v>6</x:v>
      </x:c>
      <x:c r="B10" s="38" t="str">
        <x:v>04-07 数字图书馆与技术建设</x:v>
      </x:c>
      <x:c r="C10" s="38" t="str">
        <x:v>数字图书馆规划模板</x:v>
      </x:c>
      <x:c r="D10" s="35" t="str">
        <x:v>生成数字图书馆建设的目标、关键组件、行动计划和成功指标。</x:v>
      </x:c>
      <x:c r="E10" s="35" t="str">
        <x:v>适合学生、教师、科研人员、图书馆人员使用。</x:v>
      </x:c>
      <x:c r="F10" s="35" t="str">
        <x:v>适用于馆藏发现、开放资源检索、知识库建设与服务规划。</x:v>
      </x:c>
      <x:c r="G10" s="35" t="str">
        <x:v>需要准备：网络；部分功能需要 API（软件之间交换信息的接口）密钥、机构订阅或本地小程序。</x:v>
      </x:c>
      <x:c r="H10" s="35" t="str">
        <x:v>需要注意：外部连接方式、馆藏覆盖和访问政策会变化；不得绕过权限或版权限制。</x:v>
      </x:c>
      <x:c r="I10" s="37" t="str">
        <x:v>中</x:v>
      </x:c>
      <x:c r="J10" s="37" t="str">
        <x:v>B｜少量调整</x:v>
      </x:c>
      <x:c r="K10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10" s="35" t="str">
        <x:v>说明已核验：已核对用途与使用说明；本次未安装、未运行，不能据此判断实际效果。</x:v>
      </x:c>
      <x:c r="M10" s="39" t="str">
        <x:v>digital-library-plan</x:v>
      </x:c>
      <x:c r="N10" s="39" t="str">
        <x:v>GH-04-0006</x:v>
      </x:c>
      <x:c r="O10" s="36" t="str">
        <x:v>数字图书馆、需求分析、实施路线、指标</x:v>
      </x:c>
      <x:c r="P10" s="36" t="str">
        <x:v>Anthropic Claude Code / 可移植模板</x:v>
      </x:c>
      <x:c r="Q10" s="36" t="str">
        <x:v>社区 skill、GitHub 开源仓库</x:v>
      </x:c>
      <x:c r="R10" s="39" t="str">
        <x:v>MIT</x:v>
      </x:c>
      <x:c r="S10" s="41" t="n">
        <x:v>20</x:v>
      </x:c>
      <x:c r="T10" s="42" t="n">
        <x:v>46061</x:v>
      </x:c>
      <x:c r="U10" s="36" t="str">
        <x:v>https://github.com/lionelsimai/claude-skills-collection/blob/main/skills/digital-library-plan/SKILL.md</x:v>
      </x:c>
      <x:c r="V10" s="36" t="str">
        <x:v>https://github.com/lionelsimai/claude-skills-collection</x:v>
      </x:c>
    </x:row>
    <x:row r="11" ht="92" customHeight="1">
      <x:c r="A11" s="37" t="n">
        <x:v>7</x:v>
      </x:c>
      <x:c r="B11" s="38" t="str">
        <x:v>04-06 图书馆服务、活动与推广</x:v>
      </x:c>
      <x:c r="C11" s="38" t="str">
        <x:v>图书馆推广与外联计划</x:v>
      </x:c>
      <x:c r="D11" s="35" t="str">
        <x:v>围绕目标群体、传播渠道、行动安排和指标制定图书馆外联计划。</x:v>
      </x:c>
      <x:c r="E11" s="35" t="str">
        <x:v>适合学生、教师、科研人员、图书馆人员使用。</x:v>
      </x:c>
      <x:c r="F11" s="35" t="str">
        <x:v>适用于馆藏发现、开放资源检索、知识库建设与服务规划。</x:v>
      </x:c>
      <x:c r="G11" s="35" t="str">
        <x:v>需要准备：网络；部分功能需要 API（软件之间交换信息的接口）密钥、机构订阅或本地小程序。</x:v>
      </x:c>
      <x:c r="H11" s="35" t="str">
        <x:v>需要注意：外部连接方式、馆藏覆盖和访问政策会变化；不得绕过权限或版权限制。</x:v>
      </x:c>
      <x:c r="I11" s="37" t="str">
        <x:v>中</x:v>
      </x:c>
      <x:c r="J11" s="37" t="str">
        <x:v>B｜少量调整</x:v>
      </x:c>
      <x:c r="K11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11" s="35" t="str">
        <x:v>说明已核验：已核对用途与使用说明；本次未安装、未运行，不能据此判断实际效果。</x:v>
      </x:c>
      <x:c r="M11" s="39" t="str">
        <x:v>library-outreach-plan</x:v>
      </x:c>
      <x:c r="N11" s="39" t="str">
        <x:v>GH-04-0007</x:v>
      </x:c>
      <x:c r="O11" s="36" t="str">
        <x:v>读者服务、社区外联、活动传播、评估</x:v>
      </x:c>
      <x:c r="P11" s="36" t="str">
        <x:v>Anthropic Claude Code / 可移植模板</x:v>
      </x:c>
      <x:c r="Q11" s="36" t="str">
        <x:v>社区 skill、GitHub 开源仓库</x:v>
      </x:c>
      <x:c r="R11" s="39" t="str">
        <x:v>MIT</x:v>
      </x:c>
      <x:c r="S11" s="41" t="n">
        <x:v>20</x:v>
      </x:c>
      <x:c r="T11" s="42" t="n">
        <x:v>46061</x:v>
      </x:c>
      <x:c r="U11" s="36" t="str">
        <x:v>https://github.com/lionelsimai/claude-skills-collection/blob/main/skills/library-outreach-plan/SKILL.md</x:v>
      </x:c>
      <x:c r="V11" s="36" t="str">
        <x:v>https://github.com/lionelsimai/claude-skills-collection</x:v>
      </x:c>
    </x:row>
    <x:row r="12" ht="92" customHeight="1">
      <x:c r="A12" s="37" t="n">
        <x:v>8</x:v>
      </x:c>
      <x:c r="B12" s="38" t="str">
        <x:v>04-06 图书馆服务、活动与推广</x:v>
      </x:c>
      <x:c r="C12" s="38" t="str">
        <x:v>图书馆项目与活动设计</x:v>
      </x:c>
      <x:c r="D12" s="35" t="str">
        <x:v>把用户需求转化为图书馆项目方案、资源安排、行动计划和成效指标。</x:v>
      </x:c>
      <x:c r="E12" s="35" t="str">
        <x:v>适合学生、教师、科研人员、图书馆人员使用。</x:v>
      </x:c>
      <x:c r="F12" s="35" t="str">
        <x:v>适用于馆藏发现、开放资源检索、知识库建设与服务规划。</x:v>
      </x:c>
      <x:c r="G12" s="35" t="str">
        <x:v>需要准备：网络；部分功能需要 API（软件之间交换信息的接口）密钥、机构订阅或本地小程序。</x:v>
      </x:c>
      <x:c r="H12" s="35" t="str">
        <x:v>需要注意：外部连接方式、馆藏覆盖和访问政策会变化；不得绕过权限或版权限制。</x:v>
      </x:c>
      <x:c r="I12" s="37" t="str">
        <x:v>中</x:v>
      </x:c>
      <x:c r="J12" s="37" t="str">
        <x:v>B｜少量调整</x:v>
      </x:c>
      <x:c r="K12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12" s="35" t="str">
        <x:v>说明已核验：已核对用途与使用说明；本次未安装、未运行，不能据此判断实际效果。</x:v>
      </x:c>
      <x:c r="M12" s="39" t="str">
        <x:v>library-program-design</x:v>
      </x:c>
      <x:c r="N12" s="39" t="str">
        <x:v>GH-04-0008</x:v>
      </x:c>
      <x:c r="O12" s="36" t="str">
        <x:v>用户需求、项目设计、资源配置、评估</x:v>
      </x:c>
      <x:c r="P12" s="36" t="str">
        <x:v>Anthropic Claude Code / 可移植模板</x:v>
      </x:c>
      <x:c r="Q12" s="36" t="str">
        <x:v>社区 skill、GitHub 开源仓库</x:v>
      </x:c>
      <x:c r="R12" s="39" t="str">
        <x:v>MIT</x:v>
      </x:c>
      <x:c r="S12" s="41" t="n">
        <x:v>20</x:v>
      </x:c>
      <x:c r="T12" s="42" t="n">
        <x:v>46061</x:v>
      </x:c>
      <x:c r="U12" s="36" t="str">
        <x:v>https://github.com/lionelsimai/claude-skills-collection/blob/main/skills/library-program-design/SKILL.md</x:v>
      </x:c>
      <x:c r="V12" s="36" t="str">
        <x:v>https://github.com/lionelsimai/claude-skills-collection</x:v>
      </x:c>
    </x:row>
    <x:row r="13" ht="92" customHeight="1">
      <x:c r="A13" s="37" t="n">
        <x:v>9</x:v>
      </x:c>
      <x:c r="B13" s="38" t="str">
        <x:v>04-07 数字图书馆与技术建设</x:v>
      </x:c>
      <x:c r="C13" s="38" t="str">
        <x:v>图书馆技术建设规划</x:v>
      </x:c>
      <x:c r="D13" s="35" t="str">
        <x:v>规划图书馆技术现状评估、目标架构、实施步骤和质量检查。</x:v>
      </x:c>
      <x:c r="E13" s="35" t="str">
        <x:v>适合学生、教师、科研人员、图书馆人员使用。</x:v>
      </x:c>
      <x:c r="F13" s="35" t="str">
        <x:v>适用于馆藏发现、开放资源检索、知识库建设与服务规划。</x:v>
      </x:c>
      <x:c r="G13" s="35" t="str">
        <x:v>需要准备：网络；部分功能需要 API（软件之间交换信息的接口）密钥、机构订阅或本地小程序。</x:v>
      </x:c>
      <x:c r="H13" s="35" t="str">
        <x:v>需要注意：外部连接方式、馆藏覆盖和访问政策会变化；不得绕过权限或版权限制。</x:v>
      </x:c>
      <x:c r="I13" s="37" t="str">
        <x:v>中</x:v>
      </x:c>
      <x:c r="J13" s="37" t="str">
        <x:v>B｜少量调整</x:v>
      </x:c>
      <x:c r="K13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13" s="35" t="str">
        <x:v>说明已核验：已核对用途与使用说明；本次未安装、未运行，不能据此判断实际效果。</x:v>
      </x:c>
      <x:c r="M13" s="39" t="str">
        <x:v>library-technology-plan</x:v>
      </x:c>
      <x:c r="N13" s="39" t="str">
        <x:v>GH-04-0009</x:v>
      </x:c>
      <x:c r="O13" s="36" t="str">
        <x:v>图书馆系统、技术路线、治理、实施</x:v>
      </x:c>
      <x:c r="P13" s="36" t="str">
        <x:v>Anthropic Claude Code / 可移植模板</x:v>
      </x:c>
      <x:c r="Q13" s="36" t="str">
        <x:v>社区 skill、GitHub 开源仓库</x:v>
      </x:c>
      <x:c r="R13" s="39" t="str">
        <x:v>MIT</x:v>
      </x:c>
      <x:c r="S13" s="41" t="n">
        <x:v>20</x:v>
      </x:c>
      <x:c r="T13" s="42" t="n">
        <x:v>46061</x:v>
      </x:c>
      <x:c r="U13" s="36" t="str">
        <x:v>https://github.com/lionelsimai/claude-skills-collection/blob/main/skills/library-technology-plan/SKILL.md</x:v>
      </x:c>
      <x:c r="V13" s="36" t="str">
        <x:v>https://github.com/lionelsimai/claude-skills-collection</x:v>
      </x:c>
    </x:row>
    <x:row r="14" ht="92" customHeight="1">
      <x:c r="A14" s="37" t="n">
        <x:v>10</x:v>
      </x:c>
      <x:c r="B14" s="38" t="str">
        <x:v>04-03 媒体与新闻素养教育</x:v>
      </x:c>
      <x:c r="C14" s="38" t="str">
        <x:v>媒体素养教育项目</x:v>
      </x:c>
      <x:c r="D14" s="35" t="str">
        <x:v>设计面向学习者的媒体素养项目，覆盖目标、核心内容、活动和评价指标。</x:v>
      </x:c>
      <x:c r="E14" s="35" t="str">
        <x:v>适合学生、教师、图书馆人员使用。</x:v>
      </x:c>
      <x:c r="F14" s="35" t="str">
        <x:v>适用于信息素养课程、读者培训、图书馆项目与服务设计。</x:v>
      </x:c>
      <x:c r="G14" s="35" t="str">
        <x:v>无需额外安装工具；需要先准备本校资源信息和使用对象需求。</x:v>
      </x:c>
      <x:c r="H14" s="35" t="str">
        <x:v>需要注意：内容较通用或较轻量，不能替代本校政策、专业馆员判断和学习成效评估。</x:v>
      </x:c>
      <x:c r="I14" s="37" t="str">
        <x:v>中</x:v>
      </x:c>
      <x:c r="J14" s="37" t="str">
        <x:v>B｜少量调整</x:v>
      </x:c>
      <x:c r="K14" s="35" t="str">
        <x:v>经过少量调整后可以使用，常见调整包括更换工具、路径或账号设置。具体建议：可作为课程或服务模板，需补充本校资源、制度、学习目标和评价量规。</x:v>
      </x:c>
      <x:c r="L14" s="35" t="str">
        <x:v>说明已核验：已核对用途与使用说明；本次未安装、未运行，不能据此判断实际效果。</x:v>
      </x:c>
      <x:c r="M14" s="39" t="str">
        <x:v>media-literacy-program</x:v>
      </x:c>
      <x:c r="N14" s="39" t="str">
        <x:v>GH-04-0010</x:v>
      </x:c>
      <x:c r="O14" s="36" t="str">
        <x:v>媒体素养、课程设计、学习活动、评价</x:v>
      </x:c>
      <x:c r="P14" s="36" t="str">
        <x:v>Anthropic Claude Code / 可移植模板</x:v>
      </x:c>
      <x:c r="Q14" s="36" t="str">
        <x:v>社区 skill、GitHub 开源仓库</x:v>
      </x:c>
      <x:c r="R14" s="39" t="str">
        <x:v>MIT</x:v>
      </x:c>
      <x:c r="S14" s="41" t="n">
        <x:v>20</x:v>
      </x:c>
      <x:c r="T14" s="42" t="n">
        <x:v>46061</x:v>
      </x:c>
      <x:c r="U14" s="36" t="str">
        <x:v>https://github.com/lionelsimai/claude-skills-collection/blob/main/skills/media-literacy-program/SKILL.md</x:v>
      </x:c>
      <x:c r="V14" s="36" t="str">
        <x:v>https://github.com/lionelsimai/claude-skills-collection</x:v>
      </x:c>
    </x:row>
    <x:row r="15" ht="92" customHeight="1">
      <x:c r="A15" s="37" t="n">
        <x:v>11</x:v>
      </x:c>
      <x:c r="B15" s="38" t="str">
        <x:v>04-04 事实核查与证据验证</x:v>
      </x:c>
      <x:c r="C15" s="38" t="str">
        <x:v>事实核查教学协议</x:v>
      </x:c>
      <x:c r="D15" s="35" t="str">
        <x:v>提供轻量事实核查流程模板，用于定义取证步骤、输出结构和质量清单。</x:v>
      </x:c>
      <x:c r="E15" s="35" t="str">
        <x:v>适合学生、教师、科研人员、图书馆与宣传人员使用。</x:v>
      </x:c>
      <x:c r="F15" s="35" t="str">
        <x:v>适用于课程信息辨识、新闻与网络主张核验、来源教育。</x:v>
      </x:c>
      <x:c r="G15" s="35" t="str">
        <x:v>需要准备：网络检索；必要时使用网页归档或反向图像检索。</x:v>
      </x:c>
      <x:c r="H15" s="35" t="str">
        <x:v>需要注意：检索不到不等于主张为假；恶意网页内容、时效性和来源偏差需单独处理。</x:v>
      </x:c>
      <x:c r="I15" s="37" t="str">
        <x:v>中</x:v>
      </x:c>
      <x:c r="J15" s="37" t="str">
        <x:v>B｜少量调整</x:v>
      </x:c>
      <x:c r="K15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15" s="35" t="str">
        <x:v>说明已核验：已核对用途与使用说明；本次未安装、未运行，不能据此判断实际效果。</x:v>
      </x:c>
      <x:c r="M15" s="39" t="str">
        <x:v>fact-checking-protocol</x:v>
      </x:c>
      <x:c r="N15" s="39" t="str">
        <x:v>GH-04-0011</x:v>
      </x:c>
      <x:c r="O15" s="36" t="str">
        <x:v>事实核查、证据链、来源交叉验证、记录</x:v>
      </x:c>
      <x:c r="P15" s="36" t="str">
        <x:v>Anthropic Claude Code / 可移植模板</x:v>
      </x:c>
      <x:c r="Q15" s="36" t="str">
        <x:v>社区 skill、GitHub 开源仓库</x:v>
      </x:c>
      <x:c r="R15" s="39" t="str">
        <x:v>MIT</x:v>
      </x:c>
      <x:c r="S15" s="41" t="n">
        <x:v>20</x:v>
      </x:c>
      <x:c r="T15" s="42" t="n">
        <x:v>46061</x:v>
      </x:c>
      <x:c r="U15" s="36" t="str">
        <x:v>https://github.com/lionelsimai/claude-skills-collection/blob/main/skills/fact-checking-protocol/SKILL.md</x:v>
      </x:c>
      <x:c r="V15" s="36" t="str">
        <x:v>https://github.com/lionelsimai/claude-skills-collection</x:v>
      </x:c>
    </x:row>
    <x:row r="16" ht="92" customHeight="1">
      <x:c r="A16" s="37" t="n">
        <x:v>12</x:v>
      </x:c>
      <x:c r="B16" s="38" t="str">
        <x:v>04-05 数据素养教育</x:v>
      </x:c>
      <x:c r="C16" s="38" t="str">
        <x:v>数据素养教育项目</x:v>
      </x:c>
      <x:c r="D16" s="35" t="str">
        <x:v>设计数据获取、理解、解释与沟通能力培养项目及其评估指标。</x:v>
      </x:c>
      <x:c r="E16" s="35" t="str">
        <x:v>适合学生、教师、图书馆人员使用。</x:v>
      </x:c>
      <x:c r="F16" s="35" t="str">
        <x:v>适用于信息素养课程、读者培训、图书馆项目与服务设计。</x:v>
      </x:c>
      <x:c r="G16" s="35" t="str">
        <x:v>无需额外安装工具；需要先准备本校资源信息和使用对象需求。</x:v>
      </x:c>
      <x:c r="H16" s="35" t="str">
        <x:v>需要注意：内容较通用或较轻量，不能替代本校政策、专业馆员判断和学习成效评估。</x:v>
      </x:c>
      <x:c r="I16" s="37" t="str">
        <x:v>中</x:v>
      </x:c>
      <x:c r="J16" s="37" t="str">
        <x:v>B｜少量调整</x:v>
      </x:c>
      <x:c r="K16" s="35" t="str">
        <x:v>经过少量调整后可以使用，常见调整包括更换工具、路径或账号设置。具体建议：可作为课程或服务模板，需补充本校资源、制度、学习目标和评价量规。</x:v>
      </x:c>
      <x:c r="L16" s="35" t="str">
        <x:v>说明已核验：已核对用途与使用说明；本次未安装、未运行，不能据此判断实际效果。</x:v>
      </x:c>
      <x:c r="M16" s="39" t="str">
        <x:v>data-literacy-program</x:v>
      </x:c>
      <x:c r="N16" s="39" t="str">
        <x:v>GH-04-0012</x:v>
      </x:c>
      <x:c r="O16" s="36" t="str">
        <x:v>数据素养、课程设计、数据解读、评价</x:v>
      </x:c>
      <x:c r="P16" s="36" t="str">
        <x:v>Anthropic Claude Code / 可移植模板</x:v>
      </x:c>
      <x:c r="Q16" s="36" t="str">
        <x:v>社区 skill、GitHub 开源仓库</x:v>
      </x:c>
      <x:c r="R16" s="39" t="str">
        <x:v>MIT</x:v>
      </x:c>
      <x:c r="S16" s="41" t="n">
        <x:v>20</x:v>
      </x:c>
      <x:c r="T16" s="42" t="n">
        <x:v>46061</x:v>
      </x:c>
      <x:c r="U16" s="36" t="str">
        <x:v>https://github.com/lionelsimai/claude-skills-collection/blob/main/skills/data-literacy-program/SKILL.md</x:v>
      </x:c>
      <x:c r="V16" s="36" t="str">
        <x:v>https://github.com/lionelsimai/claude-skills-collection</x:v>
      </x:c>
    </x:row>
    <x:row r="17" ht="92" customHeight="1">
      <x:c r="A17" s="37" t="n">
        <x:v>13</x:v>
      </x:c>
      <x:c r="B17" s="38" t="str">
        <x:v>04-08 信息来源台账与书目管理</x:v>
      </x:c>
      <x:c r="C17" s="38" t="str">
        <x:v>信息来源管理流程</x:v>
      </x:c>
      <x:c r="D17" s="35" t="str">
        <x:v>为来源采集、分类、记录、更新和复核建立轻量管理流程。</x:v>
      </x:c>
      <x:c r="E17" s="35" t="str">
        <x:v>适合学生、教师、图书馆人员使用。</x:v>
      </x:c>
      <x:c r="F17" s="35" t="str">
        <x:v>适用于信息素养课程、读者培训、图书馆项目与服务设计。</x:v>
      </x:c>
      <x:c r="G17" s="35" t="str">
        <x:v>无需额外安装工具；需要先准备本校资源信息和使用对象需求。</x:v>
      </x:c>
      <x:c r="H17" s="35" t="str">
        <x:v>需要注意：内容较通用或较轻量，不能替代本校政策、专业馆员判断和学习成效评估。</x:v>
      </x:c>
      <x:c r="I17" s="37" t="str">
        <x:v>中</x:v>
      </x:c>
      <x:c r="J17" s="37" t="str">
        <x:v>B｜少量调整</x:v>
      </x:c>
      <x:c r="K17" s="35" t="str">
        <x:v>经过少量调整后可以使用，常见调整包括更换工具、路径或账号设置。具体建议：可作为课程或服务模板，需补充本校资源、制度、学习目标和评价量规。</x:v>
      </x:c>
      <x:c r="L17" s="35" t="str">
        <x:v>说明已核验：已核对用途与使用说明；本次未安装、未运行，不能据此判断实际效果。</x:v>
      </x:c>
      <x:c r="M17" s="39" t="str">
        <x:v>source-management</x:v>
      </x:c>
      <x:c r="N17" s="39" t="str">
        <x:v>GH-04-0013</x:v>
      </x:c>
      <x:c r="O17" s="36" t="str">
        <x:v>来源台账、标签、版本、可追溯性</x:v>
      </x:c>
      <x:c r="P17" s="36" t="str">
        <x:v>Anthropic Claude Code / 可移植模板</x:v>
      </x:c>
      <x:c r="Q17" s="36" t="str">
        <x:v>社区 skill、GitHub 开源仓库</x:v>
      </x:c>
      <x:c r="R17" s="39" t="str">
        <x:v>MIT</x:v>
      </x:c>
      <x:c r="S17" s="41" t="n">
        <x:v>20</x:v>
      </x:c>
      <x:c r="T17" s="42" t="n">
        <x:v>46061</x:v>
      </x:c>
      <x:c r="U17" s="36" t="str">
        <x:v>https://github.com/lionelsimai/claude-skills-collection/blob/main/skills/source-management/SKILL.md</x:v>
      </x:c>
      <x:c r="V17" s="36" t="str">
        <x:v>https://github.com/lionelsimai/claude-skills-collection</x:v>
      </x:c>
    </x:row>
    <x:row r="18" ht="92" customHeight="1">
      <x:c r="A18" s="37" t="n">
        <x:v>14</x:v>
      </x:c>
      <x:c r="B18" s="38" t="str">
        <x:v>04-04 事实核查与证据验证</x:v>
      </x:c>
      <x:c r="C18" s="38" t="str">
        <x:v>可复现事实核查统一入口</x:v>
      </x:c>
      <x:c r="D18" s="35" t="str">
        <x:v>流程安排证据优先的主张拆解、并行取证、答案比较、裁决与可复现报告流程。</x:v>
      </x:c>
      <x:c r="E18" s="35" t="str">
        <x:v>适合学生、教师、科研人员、图书馆与宣传人员使用。</x:v>
      </x:c>
      <x:c r="F18" s="35" t="str">
        <x:v>适用于课程信息辨识、新闻与网络主张核验、来源教育。</x:v>
      </x:c>
      <x:c r="G18" s="35" t="str">
        <x:v>需要准备：网络检索；必要时使用网页归档或反向图像检索。</x:v>
      </x:c>
      <x:c r="H18" s="35" t="str">
        <x:v>需要注意：检索不到不等于主张为假；恶意网页内容、时效性和来源偏差需单独处理。</x:v>
      </x:c>
      <x:c r="I18" s="37" t="str">
        <x:v>高</x:v>
      </x:c>
      <x:c r="J18" s="37" t="str">
        <x:v>B｜少量调整</x:v>
      </x:c>
      <x:c r="K18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18" s="35" t="str">
        <x:v>包内容已核验：已核对用途说明和包内文件；本次未安装、未运行，不能据此判断实际效果。</x:v>
      </x:c>
      <x:c r="M18" s="39" t="str">
        <x:v>fact-check-x-unified</x:v>
      </x:c>
      <x:c r="N18" s="39" t="str">
        <x:v>GH-04-0014</x:v>
      </x:c>
      <x:c r="O18" s="36" t="str">
        <x:v>事实核查、证据优先、答案比较、交付门禁</x:v>
      </x:c>
      <x:c r="P18" s="36" t="str">
        <x:v>Agent Skills（跨生态）</x:v>
      </x:c>
      <x:c r="Q18" s="36" t="str">
        <x:v>社区 skill、GitHub 开源仓库</x:v>
      </x:c>
      <x:c r="R18" s="39" t="str">
        <x:v>Apache-2.0</x:v>
      </x:c>
      <x:c r="S18" s="41" t="n">
        <x:v>0</x:v>
      </x:c>
      <x:c r="T18" s="42" t="n">
        <x:v>46233</x:v>
      </x:c>
      <x:c r="U18" s="36" t="str">
        <x:v>https://github.com/ASI2030/Fact-Check-X/blob/main/skills/fact-check-x-unified/SKILL.md</x:v>
      </x:c>
      <x:c r="V18" s="36" t="str">
        <x:v>https://github.com/ASI2030/Fact-Check-X</x:v>
      </x:c>
    </x:row>
    <x:row r="19" ht="92" customHeight="1">
      <x:c r="A19" s="37" t="n">
        <x:v>15</x:v>
      </x:c>
      <x:c r="B19" s="38" t="str">
        <x:v>04-04 事实核查与证据验证</x:v>
      </x:c>
      <x:c r="C19" s="38" t="str">
        <x:v>权威来源证据核验</x:v>
      </x:c>
      <x:c r="D19" s="35" t="str">
        <x:v>针对单一知识点从权威来源取证，由当前智能体裁决并形成可审计报告。</x:v>
      </x:c>
      <x:c r="E19" s="35" t="str">
        <x:v>适合学生、教师、科研人员、图书馆与宣传人员使用。</x:v>
      </x:c>
      <x:c r="F19" s="35" t="str">
        <x:v>适用于课程信息辨识、新闻与网络主张核验、来源教育。</x:v>
      </x:c>
      <x:c r="G19" s="35" t="str">
        <x:v>需要准备：网络检索；必要时使用网页归档或反向图像检索。</x:v>
      </x:c>
      <x:c r="H19" s="35" t="str">
        <x:v>需要注意：检索不到不等于主张为假；恶意网页内容、时效性和来源偏差需单独处理。</x:v>
      </x:c>
      <x:c r="I19" s="37" t="str">
        <x:v>中</x:v>
      </x:c>
      <x:c r="J19" s="37" t="str">
        <x:v>B｜少量调整</x:v>
      </x:c>
      <x:c r="K19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19" s="35" t="str">
        <x:v>包内容已核验：已核对用途说明和包内文件；本次未安装、未运行，不能据此判断实际效果。</x:v>
      </x:c>
      <x:c r="M19" s="39" t="str">
        <x:v>fact-check-x-authoritative-verify</x:v>
      </x:c>
      <x:c r="N19" s="39" t="str">
        <x:v>GH-04-0015</x:v>
      </x:c>
      <x:c r="O19" s="36" t="str">
        <x:v>权威证据、并行取证、主张裁决、审计</x:v>
      </x:c>
      <x:c r="P19" s="36" t="str">
        <x:v>Agent Skills（跨生态）</x:v>
      </x:c>
      <x:c r="Q19" s="36" t="str">
        <x:v>社区 skill、GitHub 开源仓库</x:v>
      </x:c>
      <x:c r="R19" s="39" t="str">
        <x:v>Apache-2.0</x:v>
      </x:c>
      <x:c r="S19" s="41" t="n">
        <x:v>0</x:v>
      </x:c>
      <x:c r="T19" s="42" t="n">
        <x:v>46233</x:v>
      </x:c>
      <x:c r="U19" s="36" t="str">
        <x:v>https://github.com/ASI2030/Fact-Check-X/blob/main/skills/fact-check-x-authoritative-verify/SKILL.md</x:v>
      </x:c>
      <x:c r="V19" s="36" t="str">
        <x:v>https://github.com/ASI2030/Fact-Check-X</x:v>
      </x:c>
    </x:row>
    <x:row r="20" ht="92" customHeight="1">
      <x:c r="A20" s="37" t="n">
        <x:v>16</x:v>
      </x:c>
      <x:c r="B20" s="38" t="str">
        <x:v>04-04 事实核查与证据验证</x:v>
      </x:c>
      <x:c r="C20" s="38" t="str">
        <x:v>系统化事实核查与提示注入防护</x:v>
      </x:c>
      <x:c r="D20" s="35" t="str">
        <x:v>按专业核查协议完成主张拆分、证据搜索、来源分级和结论表达，并处理恶意网页指令。</x:v>
      </x:c>
      <x:c r="E20" s="35" t="str">
        <x:v>适合学生、教师、科研人员、图书馆与宣传人员使用。</x:v>
      </x:c>
      <x:c r="F20" s="35" t="str">
        <x:v>适用于课程信息辨识、新闻与网络主张核验、来源教育。</x:v>
      </x:c>
      <x:c r="G20" s="35" t="str">
        <x:v>需要准备：网络检索；必要时使用网页归档或反向图像检索。</x:v>
      </x:c>
      <x:c r="H20" s="35" t="str">
        <x:v>需要注意：检索不到不等于主张为假；恶意网页内容、时效性和来源偏差需单独处理。项目资料库许可证未明确或无法由 GitHub 自动识别，采用前需单独核验。</x:v>
      </x:c>
      <x:c r="I20" s="37" t="str">
        <x:v>中</x:v>
      </x:c>
      <x:c r="J20" s="37" t="str">
        <x:v>B｜少量调整</x:v>
      </x:c>
      <x:c r="K20" s="35" t="str">
        <x:v>经过少量调整后可以使用，常见调整包括更换工具、路径或账号设置。具体建议：保留证据分级和人工裁决，把搜索工具替换为本项目可用的浏览与数据库连接方式。</x:v>
      </x:c>
      <x:c r="L20" s="35" t="str">
        <x:v>包内容已核验：已核对用途说明和包内文件；本次未安装、未运行，不能据此判断实际效果。</x:v>
      </x:c>
      <x:c r="M20" s="39" t="str">
        <x:v>fact-checker</x:v>
      </x:c>
      <x:c r="N20" s="39" t="str">
        <x:v>GH-04-0016</x:v>
      </x:c>
      <x:c r="O20" s="36" t="str">
        <x:v>事实核查、来源分级、提示注入、安全边界</x:v>
      </x:c>
      <x:c r="P20" s="36" t="str">
        <x:v>Agent Skills（跨生态）</x:v>
      </x:c>
      <x:c r="Q20" s="36" t="str">
        <x:v>社区 skill、GitHub 公开仓库（许可证待核）</x:v>
      </x:c>
      <x:c r="R20" s="39" t="str">
        <x:v>未明确</x:v>
      </x:c>
      <x:c r="S20" s="41" t="n">
        <x:v>0</x:v>
      </x:c>
      <x:c r="T20" s="42" t="n">
        <x:v>46160</x:v>
      </x:c>
      <x:c r="U20" s="36" t="str">
        <x:v>https://github.com/SamaritanOC/fact-checker/blob/main/SKILL.md</x:v>
      </x:c>
      <x:c r="V20" s="36" t="str">
        <x:v>https://github.com/SamaritanOC/fact-checker</x:v>
      </x:c>
    </x:row>
    <x:row r="21" ht="92" customHeight="1">
      <x:c r="A21" s="37" t="n">
        <x:v>17</x:v>
      </x:c>
      <x:c r="B21" s="38" t="str">
        <x:v>04-09 馆藏目录、机构知识库与开放资源发现</x:v>
      </x:c>
      <x:c r="C21" s="38" t="str">
        <x:v>机构知识库发现与使用</x:v>
      </x:c>
      <x:c r="D21" s="35" t="str">
        <x:v>识别和检索机构知识库，理解常见平台，并通过 OAI-PMH（批量交换文献基本信息的标准）发现开放资源。</x:v>
      </x:c>
      <x:c r="E21" s="35" t="str">
        <x:v>适合学生、教师、科研人员、图书馆人员使用。</x:v>
      </x:c>
      <x:c r="F21" s="35" t="str">
        <x:v>适用于馆藏发现、开放资源检索、知识库建设与服务规划。</x:v>
      </x:c>
      <x:c r="G21" s="35" t="str">
        <x:v>需要准备：网络；部分功能需要 API（软件之间交换信息的接口）密钥、机构订阅或本地小程序。</x:v>
      </x:c>
      <x:c r="H21" s="35" t="str">
        <x:v>需要注意：外部连接方式、馆藏覆盖和访问政策会变化；不得绕过权限或版权限制。</x:v>
      </x:c>
      <x:c r="I21" s="37" t="str">
        <x:v>高</x:v>
      </x:c>
      <x:c r="J21" s="37" t="str">
        <x:v>B｜少量调整</x:v>
      </x:c>
      <x:c r="K21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21" s="35" t="str">
        <x:v>说明已核验：已核对用途与使用说明；本次未安装、未运行，不能据此判断实际效果。</x:v>
      </x:c>
      <x:c r="M21" s="39" t="str">
        <x:v>institutional-repository-guide</x:v>
      </x:c>
      <x:c r="N21" s="39" t="str">
        <x:v>GH-04-0017</x:v>
      </x:c>
      <x:c r="O21" s="36" t="str">
        <x:v>机构知识库、DSpace、OAI-PMH、开放获取</x:v>
      </x:c>
      <x:c r="P21" s="36" t="str">
        <x:v>Research-Claw / 可移植工作流</x:v>
      </x:c>
      <x:c r="Q21" s="36" t="str">
        <x:v>社区 skill、GitHub 开源仓库</x:v>
      </x:c>
      <x:c r="R21" s="39" t="str">
        <x:v>MIT</x:v>
      </x:c>
      <x:c r="S21" s="41" t="n">
        <x:v>270</x:v>
      </x:c>
      <x:c r="T21" s="42" t="n">
        <x:v>46192</x:v>
      </x:c>
      <x:c r="U21" s="36" t="str">
        <x:v>https://github.com/wentorai/research-plugins/blob/main/skills/literature/fulltext/institutional-repository-guide/SKILL.md</x:v>
      </x:c>
      <x:c r="V21" s="36" t="str">
        <x:v>https://github.com/wentorai/research-plugins</x:v>
      </x:c>
    </x:row>
    <x:row r="22" ht="92" customHeight="1">
      <x:c r="A22" s="37" t="n">
        <x:v>18</x:v>
      </x:c>
      <x:c r="B22" s="38" t="str">
        <x:v>04-09 馆藏目录、机构知识库与开放资源发现</x:v>
      </x:c>
      <x:c r="C22" s="38" t="str">
        <x:v>WorldCat 联合目录检索</x:v>
      </x:c>
      <x:c r="D22" s="35" t="str">
        <x:v>通过 WorldCat Search API（软件之间交换信息的接口）检索全球图书馆馆藏和书目元数据（描述资料的信息，如题名、作者和日期）。</x:v>
      </x:c>
      <x:c r="E22" s="35" t="str">
        <x:v>适合学生、教师、科研人员、图书馆人员使用。</x:v>
      </x:c>
      <x:c r="F22" s="35" t="str">
        <x:v>适用于馆藏发现、开放资源检索、知识库建设与服务规划。</x:v>
      </x:c>
      <x:c r="G22" s="35" t="str">
        <x:v>需要准备：网络；部分功能需要 API 密钥、机构订阅或本地小程序。</x:v>
      </x:c>
      <x:c r="H22" s="35" t="str">
        <x:v>需要注意：外部连接方式、馆藏覆盖和访问政策会变化；不得绕过权限或版权限制。</x:v>
      </x:c>
      <x:c r="I22" s="37" t="str">
        <x:v>高</x:v>
      </x:c>
      <x:c r="J22" s="37" t="str">
        <x:v>B｜少量调整</x:v>
      </x:c>
      <x:c r="K22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22" s="35" t="str">
        <x:v>说明已核验：已核对用途与使用说明；本次未安装、未运行，不能据此判断实际效果。</x:v>
      </x:c>
      <x:c r="M22" s="39" t="str">
        <x:v>worldcat-search-api</x:v>
      </x:c>
      <x:c r="N22" s="39" t="str">
        <x:v>GH-04-0018</x:v>
      </x:c>
      <x:c r="O22" s="36" t="str">
        <x:v>WorldCat、馆藏发现、书目元数据、API</x:v>
      </x:c>
      <x:c r="P22" s="36" t="str">
        <x:v>Research-Claw / 可移植工作流</x:v>
      </x:c>
      <x:c r="Q22" s="36" t="str">
        <x:v>社区 skill、GitHub 开源仓库</x:v>
      </x:c>
      <x:c r="R22" s="39" t="str">
        <x:v>MIT</x:v>
      </x:c>
      <x:c r="S22" s="41" t="n">
        <x:v>270</x:v>
      </x:c>
      <x:c r="T22" s="42" t="n">
        <x:v>46192</x:v>
      </x:c>
      <x:c r="U22" s="36" t="str">
        <x:v>https://github.com/wentorai/research-plugins/blob/main/skills/literature/search/worldcat-search-api/SKILL.md</x:v>
      </x:c>
      <x:c r="V22" s="36" t="str">
        <x:v>https://github.com/wentorai/research-plugins</x:v>
      </x:c>
    </x:row>
    <x:row r="23" ht="92" customHeight="1">
      <x:c r="A23" s="37" t="n">
        <x:v>19</x:v>
      </x:c>
      <x:c r="B23" s="38" t="str">
        <x:v>04-11 开放科学与科研数据管理</x:v>
      </x:c>
      <x:c r="C23" s="38" t="str">
        <x:v>开放科学实践指南</x:v>
      </x:c>
      <x:c r="D23" s="35" t="str">
        <x:v>指导预注册、注册报告、开放数据、开放材料和透明研究实践。</x:v>
      </x:c>
      <x:c r="E23" s="35" t="str">
        <x:v>适合学生、教师、图书馆人员使用。</x:v>
      </x:c>
      <x:c r="F23" s="35" t="str">
        <x:v>适用于信息素养课程、读者培训、图书馆项目与服务设计。</x:v>
      </x:c>
      <x:c r="G23" s="35" t="str">
        <x:v>无需额外安装工具；需要先准备本校资源信息和使用对象需求。</x:v>
      </x:c>
      <x:c r="H23" s="35" t="str">
        <x:v>需要注意：内容较通用或较轻量，不能替代本校政策、专业馆员判断和学习成效评估。</x:v>
      </x:c>
      <x:c r="I23" s="37" t="str">
        <x:v>高</x:v>
      </x:c>
      <x:c r="J23" s="37" t="str">
        <x:v>B｜少量调整</x:v>
      </x:c>
      <x:c r="K23" s="35" t="str">
        <x:v>经过少量调整后可以使用，常见调整包括更换工具、路径或账号设置。具体建议：可作为课程或服务模板，需补充本校资源、制度、学习目标和评价量规。</x:v>
      </x:c>
      <x:c r="L23" s="35" t="str">
        <x:v>说明已核验：已核对用途与使用说明；本次未安装、未运行，不能据此判断实际效果。</x:v>
      </x:c>
      <x:c r="M23" s="39" t="str">
        <x:v>open-science-guide</x:v>
      </x:c>
      <x:c r="N23" s="39" t="str">
        <x:v>GH-04-0019</x:v>
      </x:c>
      <x:c r="O23" s="36" t="str">
        <x:v>开放科学、预注册、注册报告、数据共享</x:v>
      </x:c>
      <x:c r="P23" s="36" t="str">
        <x:v>Research-Claw / 可移植工作流</x:v>
      </x:c>
      <x:c r="Q23" s="36" t="str">
        <x:v>社区 skill、GitHub 开源仓库</x:v>
      </x:c>
      <x:c r="R23" s="39" t="str">
        <x:v>MIT</x:v>
      </x:c>
      <x:c r="S23" s="41" t="n">
        <x:v>270</x:v>
      </x:c>
      <x:c r="T23" s="42" t="n">
        <x:v>46192</x:v>
      </x:c>
      <x:c r="U23" s="36" t="str">
        <x:v>https://github.com/wentorai/research-plugins/blob/main/skills/research/funding/open-science-guide/SKILL.md</x:v>
      </x:c>
      <x:c r="V23" s="36" t="str">
        <x:v>https://github.com/wentorai/research-plugins</x:v>
      </x:c>
    </x:row>
    <x:row r="24" ht="92" customHeight="1">
      <x:c r="A24" s="37" t="n">
        <x:v>20</x:v>
      </x:c>
      <x:c r="B24" s="38" t="str">
        <x:v>04-09 馆藏目录、机构知识库与开放资源发现</x:v>
      </x:c>
      <x:c r="C24" s="38" t="str">
        <x:v>开放知识库元数据采集</x:v>
      </x:c>
      <x:c r="D24" s="35" t="str">
        <x:v>说明 OAI-PMH（批量交换文献基本信息的标准）六类请求、选择性与增量采集，并给出 Python（常用于数据处理和自动化的编程语言）采集处理流程。</x:v>
      </x:c>
      <x:c r="E24" s="35" t="str">
        <x:v>适合学生、教师、科研人员、图书馆人员使用。</x:v>
      </x:c>
      <x:c r="F24" s="35" t="str">
        <x:v>适用于馆藏发现、开放资源检索、知识库建设与服务规划。</x:v>
      </x:c>
      <x:c r="G24" s="35" t="str">
        <x:v>需要准备：网络；部分功能需要 API（软件之间交换信息的接口）密钥、机构订阅或本地小程序。</x:v>
      </x:c>
      <x:c r="H24" s="35" t="str">
        <x:v>需要注意：外部连接方式、馆藏覆盖和访问政策会变化；不得绕过权限或版权限制。</x:v>
      </x:c>
      <x:c r="I24" s="37" t="str">
        <x:v>高</x:v>
      </x:c>
      <x:c r="J24" s="37" t="str">
        <x:v>B｜少量调整</x:v>
      </x:c>
      <x:c r="K24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24" s="35" t="str">
        <x:v>说明已核验：已核对用途与使用说明；本次未安装、未运行，不能据此判断实际效果。</x:v>
      </x:c>
      <x:c r="M24" s="39" t="str">
        <x:v>repository-harvesting-guide</x:v>
      </x:c>
      <x:c r="N24" s="39" t="str">
        <x:v>GH-04-0020</x:v>
      </x:c>
      <x:c r="O24" s="36" t="str">
        <x:v>OAI-PMH、元数据采集、增量同步、Python</x:v>
      </x:c>
      <x:c r="P24" s="36" t="str">
        <x:v>Research-Claw / 可移植工作流</x:v>
      </x:c>
      <x:c r="Q24" s="36" t="str">
        <x:v>社区 skill、GitHub 开源仓库</x:v>
      </x:c>
      <x:c r="R24" s="39" t="str">
        <x:v>MIT</x:v>
      </x:c>
      <x:c r="S24" s="41" t="n">
        <x:v>270</x:v>
      </x:c>
      <x:c r="T24" s="42" t="n">
        <x:v>46192</x:v>
      </x:c>
      <x:c r="U24" s="36" t="str">
        <x:v>https://github.com/wentorai/research-plugins/blob/main/skills/tools/scraping/repository-harvesting-guide/SKILL.md</x:v>
      </x:c>
      <x:c r="V24" s="36" t="str">
        <x:v>https://github.com/wentorai/research-plugins</x:v>
      </x:c>
    </x:row>
    <x:row r="25" ht="92" customHeight="1">
      <x:c r="A25" s="37" t="n">
        <x:v>21</x:v>
      </x:c>
      <x:c r="B25" s="38" t="str">
        <x:v>04-11 开放科学与科研数据管理</x:v>
      </x:c>
      <x:c r="C25" s="38" t="str">
        <x:v>Figshare 科研资源管理</x:v>
      </x:c>
      <x:c r="D25" s="35" t="str">
        <x:v>使用 Figshare API（软件之间交换信息的接口）检索、读取和管理公开研究数据集及文件元数据（描述资料的信息，如题名、作者和日期）。</x:v>
      </x:c>
      <x:c r="E25" s="35" t="str">
        <x:v>适合学生、教师、科研人员、图书馆人员使用。</x:v>
      </x:c>
      <x:c r="F25" s="35" t="str">
        <x:v>适用于馆藏发现、开放资源检索、知识库建设与服务规划。</x:v>
      </x:c>
      <x:c r="G25" s="35" t="str">
        <x:v>需要准备：网络；部分功能需要 API 密钥、机构订阅或本地小程序。</x:v>
      </x:c>
      <x:c r="H25" s="35" t="str">
        <x:v>需要注意：外部连接方式、馆藏覆盖和访问政策会变化；不得绕过权限或版权限制。</x:v>
      </x:c>
      <x:c r="I25" s="37" t="str">
        <x:v>中</x:v>
      </x:c>
      <x:c r="J25" s="37" t="str">
        <x:v>B｜少量调整</x:v>
      </x:c>
      <x:c r="K25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25" s="35" t="str">
        <x:v>说明已核验：已核对用途与使用说明；本次未安装、未运行，不能据此判断实际效果。</x:v>
      </x:c>
      <x:c r="M25" s="39" t="str">
        <x:v>figshare-api</x:v>
      </x:c>
      <x:c r="N25" s="39" t="str">
        <x:v>GH-04-0021</x:v>
      </x:c>
      <x:c r="O25" s="36" t="str">
        <x:v>Figshare、数据集、研究对象、API</x:v>
      </x:c>
      <x:c r="P25" s="36" t="str">
        <x:v>Research-Claw / 可移植工作流</x:v>
      </x:c>
      <x:c r="Q25" s="36" t="str">
        <x:v>社区 skill、GitHub 开源仓库</x:v>
      </x:c>
      <x:c r="R25" s="39" t="str">
        <x:v>MIT</x:v>
      </x:c>
      <x:c r="S25" s="41" t="n">
        <x:v>270</x:v>
      </x:c>
      <x:c r="T25" s="42" t="n">
        <x:v>46192</x:v>
      </x:c>
      <x:c r="U25" s="36" t="str">
        <x:v>https://github.com/wentorai/research-plugins/blob/main/skills/research/funding/figshare-api/SKILL.md</x:v>
      </x:c>
      <x:c r="V25" s="36" t="str">
        <x:v>https://github.com/wentorai/research-plugins</x:v>
      </x:c>
    </x:row>
    <x:row r="26" ht="92" customHeight="1">
      <x:c r="A26" s="37" t="n">
        <x:v>22</x:v>
      </x:c>
      <x:c r="B26" s="38" t="str">
        <x:v>04-09 馆藏目录、机构知识库与开放资源发现</x:v>
      </x:c>
      <x:c r="C26" s="38" t="str">
        <x:v>PMC 开放文献元数据采集</x:v>
      </x:c>
      <x:c r="D26" s="35" t="str">
        <x:v>使用 PMC-OAI（批量获取开放医学论文资料的服务）批量取得开放论文的基本信息和可用全文地址。</x:v>
      </x:c>
      <x:c r="E26" s="35" t="str">
        <x:v>适合学生、教师、科研人员、图书馆人员使用。</x:v>
      </x:c>
      <x:c r="F26" s="35" t="str">
        <x:v>适用于馆藏发现、开放资源检索、知识库建设与服务规划。</x:v>
      </x:c>
      <x:c r="G26" s="35" t="str">
        <x:v>需要准备：网络；部分功能需要 API（软件之间交换信息的接口）密钥、机构订阅或本地小程序。</x:v>
      </x:c>
      <x:c r="H26" s="35" t="str">
        <x:v>需要注意：外部连接方式、馆藏覆盖和访问政策会变化；不得绕过权限或版权限制。</x:v>
      </x:c>
      <x:c r="I26" s="37" t="str">
        <x:v>中</x:v>
      </x:c>
      <x:c r="J26" s="37" t="str">
        <x:v>B｜少量调整</x:v>
      </x:c>
      <x:c r="K26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26" s="35" t="str">
        <x:v>说明已核验：已核对用途与使用说明；本次未安装、未运行，不能据此判断实际效果。</x:v>
      </x:c>
      <x:c r="M26" s="39" t="str">
        <x:v>pmc-oai-api</x:v>
      </x:c>
      <x:c r="N26" s="39" t="str">
        <x:v>GH-04-0022</x:v>
      </x:c>
      <x:c r="O26" s="36" t="str">
        <x:v>PubMed Central、OAI-PMH、全文、元数据</x:v>
      </x:c>
      <x:c r="P26" s="36" t="str">
        <x:v>Research-Claw / 可移植工作流</x:v>
      </x:c>
      <x:c r="Q26" s="36" t="str">
        <x:v>社区 skill、GitHub 开源仓库</x:v>
      </x:c>
      <x:c r="R26" s="39" t="str">
        <x:v>MIT</x:v>
      </x:c>
      <x:c r="S26" s="41" t="n">
        <x:v>270</x:v>
      </x:c>
      <x:c r="T26" s="42" t="n">
        <x:v>46192</x:v>
      </x:c>
      <x:c r="U26" s="36" t="str">
        <x:v>https://github.com/wentorai/research-plugins/blob/main/skills/literature/fulltext/pmc-oai-api/SKILL.md</x:v>
      </x:c>
      <x:c r="V26" s="36" t="str">
        <x:v>https://github.com/wentorai/research-plugins</x:v>
      </x:c>
    </x:row>
    <x:row r="27" ht="92" customHeight="1">
      <x:c r="A27" s="37" t="n">
        <x:v>23</x:v>
      </x:c>
      <x:c r="B27" s="38" t="str">
        <x:v>04-11 开放科学与科研数据管理</x:v>
      </x:c>
      <x:c r="C27" s="38" t="str">
        <x:v>FAIR 数据原则速查</x:v>
      </x:c>
      <x:c r="D27" s="35" t="str">
        <x:v>按可发现、可访问、可互操作和可复用四项原则检查科研数据管理。</x:v>
      </x:c>
      <x:c r="E27" s="35" t="str">
        <x:v>适合科研人员、研究生、图书馆与科研数据管理人员使用。</x:v>
      </x:c>
      <x:c r="F27" s="35" t="str">
        <x:v>适用于个人/机构知识库、科研数据治理、元数据（描述资料的信息，如题名、作者和日期）规范与术语控制。</x:v>
      </x:c>
      <x:c r="G27" s="35" t="str">
        <x:v>需要准备对应的数据平台或标准；部分功能还要由技术人员配置 Python（常用于数据处理和自动化的编程语言）、服务授权信息或本地检索目录。</x:v>
      </x:c>
      <x:c r="H27" s="35" t="str">
        <x:v>需要注意：元数据对应可能丢失语义；登录或授权信息、未公开研究对象和批量写入必须受控。项目资料库许可证未明确或无法由 GitHub 自动识别，采用前需单独核验。</x:v>
      </x:c>
      <x:c r="I27" s="37" t="str">
        <x:v>中</x:v>
      </x:c>
      <x:c r="J27" s="37" t="str">
        <x:v>B｜少量调整</x:v>
      </x:c>
      <x:c r="K27" s="35" t="str">
        <x:v>建议先盘点现状、用少量样本试验，并保持只查看不修改；涉及授权信息、写入或批量修改时需另行审批。</x:v>
      </x:c>
      <x:c r="L27" s="35" t="str">
        <x:v>说明已核验：已核对用途与使用说明；本次未安装、未运行，不能据此判断实际效果。</x:v>
      </x:c>
      <x:c r="M27" s="39" t="str">
        <x:v>fair-data</x:v>
      </x:c>
      <x:c r="N27" s="39" t="str">
        <x:v>GH-04-0023</x:v>
      </x:c>
      <x:c r="O27" s="36" t="str">
        <x:v>FAIR、科研数据、数据存储库、复用</x:v>
      </x:c>
      <x:c r="P27" s="36" t="str">
        <x:v>LabClaw / 可移植工作流</x:v>
      </x:c>
      <x:c r="Q27" s="36" t="str">
        <x:v>社区 skill、GitHub 公开仓库（许可证待核）</x:v>
      </x:c>
      <x:c r="R27" s="39" t="str">
        <x:v>未明确</x:v>
      </x:c>
      <x:c r="S27" s="41" t="n">
        <x:v>1044</x:v>
      </x:c>
      <x:c r="T27" s="42" t="n">
        <x:v>46100</x:v>
      </x:c>
      <x:c r="U27" s="36" t="str">
        <x:v>https://github.com/wu-yc/LabClaw/blob/main/skills/general/fair-data/SKILL.md</x:v>
      </x:c>
      <x:c r="V27" s="36" t="str">
        <x:v>https://github.com/wu-yc/LabClaw</x:v>
      </x:c>
    </x:row>
    <x:row r="28" ht="92" customHeight="1">
      <x:c r="A28" s="37" t="n">
        <x:v>24</x:v>
      </x:c>
      <x:c r="B28" s="38" t="str">
        <x:v>04-11 开放科学与科研数据管理</x:v>
      </x:c>
      <x:c r="C28" s="38" t="str">
        <x:v>FAIR 论文与研究对象检查</x:v>
      </x:c>
      <x:c r="D28" s="35" t="str">
        <x:v>清点论文关联研究对象并逐项检查其可发现性、可访问性、互操作性与复用性。</x:v>
      </x:c>
      <x:c r="E28" s="35" t="str">
        <x:v>适合科研人员、研究生、图书馆与科研数据管理人员使用。</x:v>
      </x:c>
      <x:c r="F28" s="35" t="str">
        <x:v>适用于个人/机构知识库、科研数据治理、元数据（描述资料的信息，如题名、作者和日期）规范与术语控制。</x:v>
      </x:c>
      <x:c r="G28" s="35" t="str">
        <x:v>需要准备对应的数据平台或标准；部分功能还要由技术人员配置 Python（常用于数据处理和自动化的编程语言）、服务授权信息或本地检索目录。</x:v>
      </x:c>
      <x:c r="H28" s="35" t="str">
        <x:v>需要注意：元数据对应可能丢失语义；登录或授权信息、未公开研究对象和批量写入必须受控。项目资料库许可证未明确或无法由 GitHub 自动识别，采用前需单独核验。</x:v>
      </x:c>
      <x:c r="I28" s="37" t="str">
        <x:v>高</x:v>
      </x:c>
      <x:c r="J28" s="37" t="str">
        <x:v>B｜少量调整</x:v>
      </x:c>
      <x:c r="K28" s="35" t="str">
        <x:v>建议先盘点现状、用少量样本试验，并保持只查看不修改；涉及授权信息、写入或批量修改时需另行审批。</x:v>
      </x:c>
      <x:c r="L28" s="35" t="str">
        <x:v>包内容已核验：已核对用途说明和包内文件；本次未安装、未运行，不能据此判断实际效果。</x:v>
      </x:c>
      <x:c r="M28" s="39" t="str">
        <x:v>fair-check</x:v>
      </x:c>
      <x:c r="N28" s="39" t="str">
        <x:v>GH-04-0024</x:v>
      </x:c>
      <x:c r="O28" s="36" t="str">
        <x:v>FAIR、论文审计、研究对象、透明报告</x:v>
      </x:c>
      <x:c r="P28" s="36" t="str">
        <x:v>OpenAI Codex、Anthropic Claude Code</x:v>
      </x:c>
      <x:c r="Q28" s="36" t="str">
        <x:v>社区 skill、GitHub 公开仓库（许可证待核）</x:v>
      </x:c>
      <x:c r="R28" s="39" t="str">
        <x:v>NOASSERTION</x:v>
      </x:c>
      <x:c r="S28" s="41" t="n">
        <x:v>39</x:v>
      </x:c>
      <x:c r="T28" s="42" t="n">
        <x:v>46240</x:v>
      </x:c>
      <x:c r="U28" s="36" t="str">
        <x:v>https://github.com/scdenney/open-science-skills/blob/main/codex/fair-check/SKILL.md</x:v>
      </x:c>
      <x:c r="V28" s="36" t="str">
        <x:v>https://github.com/scdenney/open-science-skills</x:v>
      </x:c>
    </x:row>
    <x:row r="29" ht="92" customHeight="1">
      <x:c r="A29" s="37" t="n">
        <x:v>25</x:v>
      </x:c>
      <x:c r="B29" s="38" t="str">
        <x:v>04-10 元数据、术语与数据规范</x:v>
      </x:c>
      <x:c r="C29" s="38" t="str">
        <x:v>元数据模式设计</x:v>
      </x:c>
      <x:c r="D29" s="35" t="str">
        <x:v>从业务与检索需求出发定义字段、约束、验证规则和可维护的元数据（描述资料的信息，如题名、作者和日期）模式。</x:v>
      </x:c>
      <x:c r="E29" s="35" t="str">
        <x:v>适合科研人员、研究生、图书馆与科研数据管理人员使用。</x:v>
      </x:c>
      <x:c r="F29" s="35" t="str">
        <x:v>适用于个人/机构知识库、科研数据治理、元数据规范与术语控制。</x:v>
      </x:c>
      <x:c r="G29" s="35" t="str">
        <x:v>需要准备对应的数据平台或标准；部分功能还要由技术人员配置 Python（常用于数据处理和自动化的编程语言）、服务授权信息或本地检索目录。</x:v>
      </x:c>
      <x:c r="H29" s="35" t="str">
        <x:v>需要注意：元数据对应可能丢失语义；登录或授权信息、未公开研究对象和批量写入必须受控。</x:v>
      </x:c>
      <x:c r="I29" s="37" t="str">
        <x:v>中</x:v>
      </x:c>
      <x:c r="J29" s="37" t="str">
        <x:v>B｜少量调整</x:v>
      </x:c>
      <x:c r="K29" s="35" t="str">
        <x:v>建议先盘点现状、用少量样本试验，并保持只查看不修改；涉及授权信息、写入或批量修改时需另行审批。</x:v>
      </x:c>
      <x:c r="L29" s="35" t="str">
        <x:v>说明已核验：已核对用途与使用说明；本次未安装、未运行，不能据此判断实际效果。</x:v>
      </x:c>
      <x:c r="M29" s="39" t="str">
        <x:v>design-metadata-schema</x:v>
      </x:c>
      <x:c r="N29" s="39" t="str">
        <x:v>GH-04-0025</x:v>
      </x:c>
      <x:c r="O29" s="36" t="str">
        <x:v>元数据、字段约束、验证、模式文档</x:v>
      </x:c>
      <x:c r="P29" s="36" t="str">
        <x:v>Agent Skills（通用）</x:v>
      </x:c>
      <x:c r="Q29" s="36" t="str">
        <x:v>社区 skill、GitHub 开源仓库</x:v>
      </x:c>
      <x:c r="R29" s="39" t="str">
        <x:v>Apache-2.0</x:v>
      </x:c>
      <x:c r="S29" s="41" t="n">
        <x:v>120</x:v>
      </x:c>
      <x:c r="T29" s="42" t="n">
        <x:v>46238</x:v>
      </x:c>
      <x:c r="U29" s="36" t="str">
        <x:v>https://github.com/dandye/ai-runbooks/blob/main/skills/design-metadata-schema/SKILL.md</x:v>
      </x:c>
      <x:c r="V29" s="36" t="str">
        <x:v>https://github.com/dandye/ai-runbooks</x:v>
      </x:c>
    </x:row>
    <x:row r="30" ht="92" customHeight="1">
      <x:c r="A30" s="37" t="n">
        <x:v>26</x:v>
      </x:c>
      <x:c r="B30" s="38" t="str">
        <x:v>04-12 个人文献库与实验记录系统集成</x:v>
      </x:c>
      <x:c r="C30" s="38" t="str">
        <x:v>Zotero 本地知识库桥接</x:v>
      </x:c>
      <x:c r="D30" s="35" t="str">
        <x:v>把 Zotero 文献分批同步到本地检索库，方便围绕个人馆藏查找资料并生成带出处的回答。</x:v>
      </x:c>
      <x:c r="E30" s="35" t="str">
        <x:v>适合科研人员、研究生、图书馆与科研数据管理人员使用。</x:v>
      </x:c>
      <x:c r="F30" s="35" t="str">
        <x:v>适用于个人/机构知识库、科研数据治理、元数据（描述资料的信息，如题名、作者和日期）规范与术语控制。</x:v>
      </x:c>
      <x:c r="G30" s="35" t="str">
        <x:v>需要准备对应的数据平台或标准；部分功能还要由技术人员配置 Python（常用于数据处理和自动化的编程语言）、服务授权信息或本地检索目录。</x:v>
      </x:c>
      <x:c r="H30" s="35" t="str">
        <x:v>需要注意：元数据对应可能丢失语义；登录或授权信息、未公开研究对象和批量写入必须受控。项目资料库许可证未明确或无法由 GitHub 自动识别，采用前需单独核验。</x:v>
      </x:c>
      <x:c r="I30" s="37" t="str">
        <x:v>高</x:v>
      </x:c>
      <x:c r="J30" s="37" t="str">
        <x:v>B｜少量调整</x:v>
      </x:c>
      <x:c r="K30" s="35" t="str">
        <x:v>建议先盘点现状、用少量样本试验，并保持只查看不修改；涉及授权信息、写入或批量修改时需另行审批。</x:v>
      </x:c>
      <x:c r="L30" s="35" t="str">
        <x:v>包内容已核验：已核对用途说明和包内文件；本次未安装、未运行，不能据此判断实际效果。</x:v>
      </x:c>
      <x:c r="M30" s="39" t="str">
        <x:v>zotero-bridge</x:v>
      </x:c>
      <x:c r="N30" s="39" t="str">
        <x:v>GH-04-0026</x:v>
      </x:c>
      <x:c r="O30" s="36" t="str">
        <x:v>Zotero、全文索引、RAG、混合检索</x:v>
      </x:c>
      <x:c r="P30" s="36" t="str">
        <x:v>nanobot / 可适配 Agent Skill</x:v>
      </x:c>
      <x:c r="Q30" s="36" t="str">
        <x:v>社区 skill、GitHub 公开仓库（许可证待核）</x:v>
      </x:c>
      <x:c r="R30" s="39" t="str">
        <x:v>未明确</x:v>
      </x:c>
      <x:c r="S30" s="41" t="n">
        <x:v>3</x:v>
      </x:c>
      <x:c r="T30" s="42" t="n">
        <x:v>46174</x:v>
      </x:c>
      <x:c r="U30" s="36" t="str">
        <x:v>https://github.com/Albert-Libra/nanobot-zotero-bridge/blob/master/SKILL.md</x:v>
      </x:c>
      <x:c r="V30" s="36" t="str">
        <x:v>https://github.com/Albert-Libra/nanobot-zotero-bridge</x:v>
      </x:c>
    </x:row>
    <x:row r="31" ht="92" customHeight="1">
      <x:c r="A31" s="37" t="n">
        <x:v>27</x:v>
      </x:c>
      <x:c r="B31" s="38" t="str">
        <x:v>04-10 元数据、术语与数据规范</x:v>
      </x:c>
      <x:c r="C31" s="38" t="str">
        <x:v>本体术语规范化与解析</x:v>
      </x:c>
      <x:c r="D31" s="35" t="str">
        <x:v>在指定标准术语体系内，把自由文本对应到规范术语，并列出无法匹配或含义不清的部分。</x:v>
      </x:c>
      <x:c r="E31" s="35" t="str">
        <x:v>适合科研人员、研究生、图书馆与科研数据管理人员使用。</x:v>
      </x:c>
      <x:c r="F31" s="35" t="str">
        <x:v>适用于个人/机构知识库、科研数据治理、元数据（描述资料的信息，如题名、作者和日期）规范与术语控制。</x:v>
      </x:c>
      <x:c r="G31" s="35" t="str">
        <x:v>需要准备对应的数据平台或标准；部分功能还要由技术人员配置 Python（常用于数据处理和自动化的编程语言）、服务授权信息或本地检索目录。</x:v>
      </x:c>
      <x:c r="H31" s="35" t="str">
        <x:v>需要注意：元数据对应可能丢失语义；登录或授权信息、未公开研究对象和批量写入必须受控。</x:v>
      </x:c>
      <x:c r="I31" s="37" t="str">
        <x:v>高</x:v>
      </x:c>
      <x:c r="J31" s="37" t="str">
        <x:v>B｜少量调整</x:v>
      </x:c>
      <x:c r="K31" s="35" t="str">
        <x:v>建议先盘点现状、用少量样本试验，并保持只查看不修改；涉及授权信息、写入或批量修改时需另行审批。</x:v>
      </x:c>
      <x:c r="L31" s="35" t="str">
        <x:v>包内容已核验：已核对用途说明和包内文件；本次未安装、未运行，不能据此判断实际效果。</x:v>
      </x:c>
      <x:c r="M31" s="39" t="str">
        <x:v>ontology-term-resolution</x:v>
      </x:c>
      <x:c r="N31" s="39" t="str">
        <x:v>GH-04-0027</x:v>
      </x:c>
      <x:c r="O31" s="36" t="str">
        <x:v>本体、受控词表、术语映射、数据规范</x:v>
      </x:c>
      <x:c r="P31" s="36" t="str">
        <x:v>Agent Skills（兼容 Codex、Claude Code、Cursor 等）</x:v>
      </x:c>
      <x:c r="Q31" s="36" t="str">
        <x:v>社区 skill、GitHub 开源仓库</x:v>
      </x:c>
      <x:c r="R31" s="39" t="str">
        <x:v>MIT</x:v>
      </x:c>
      <x:c r="S31" s="41" t="n">
        <x:v>32822</x:v>
      </x:c>
      <x:c r="T31" s="42" t="n">
        <x:v>46237</x:v>
      </x:c>
      <x:c r="U31" s="36" t="str">
        <x:v>https://github.com/K-Dense-AI/scientific-agent-skills/blob/main/skills/ontology-term-resolution/SKILL.md</x:v>
      </x:c>
      <x:c r="V31" s="36" t="str">
        <x:v>https://github.com/K-Dense-AI/scientific-agent-skills</x:v>
      </x:c>
    </x:row>
    <x:row r="32" ht="92" customHeight="1">
      <x:c r="A32" s="37" t="n">
        <x:v>28</x:v>
      </x:c>
      <x:c r="B32" s="38" t="str">
        <x:v>04-12 个人文献库与实验记录系统集成</x:v>
      </x:c>
      <x:c r="C32" s="38" t="str">
        <x:v>LabArchives 电子实验记录集成</x:v>
      </x:c>
      <x:c r="D32" s="35" t="str">
        <x:v>规划 LabArchives 电子实验记录和库存服务的身份验证、区域地址、资料读取及受控写入。</x:v>
      </x:c>
      <x:c r="E32" s="35" t="str">
        <x:v>适合科研人员、研究生、图书馆与科研数据管理人员使用。</x:v>
      </x:c>
      <x:c r="F32" s="35" t="str">
        <x:v>适用于个人/机构知识库、科研数据治理、元数据（描述资料的信息，如题名、作者和日期）规范与术语控制。</x:v>
      </x:c>
      <x:c r="G32" s="35" t="str">
        <x:v>需要准备对应的数据平台或标准；部分功能还要由技术人员配置 Python（常用于数据处理和自动化的编程语言）、服务授权信息或本地检索目录。</x:v>
      </x:c>
      <x:c r="H32" s="35" t="str">
        <x:v>需要注意：元数据对应可能丢失语义；登录或授权信息、未公开研究对象和批量写入必须受控。</x:v>
      </x:c>
      <x:c r="I32" s="37" t="str">
        <x:v>中</x:v>
      </x:c>
      <x:c r="J32" s="37" t="str">
        <x:v>B｜少量调整</x:v>
      </x:c>
      <x:c r="K32" s="35" t="str">
        <x:v>建议先盘点现状、用少量样本试验，并保持只查看不修改；涉及授权信息、写入或批量修改时需另行审批。</x:v>
      </x:c>
      <x:c r="L32" s="35" t="str">
        <x:v>包内容已核验：已核对用途说明和包内文件；本次未安装、未运行，不能据此判断实际效果。</x:v>
      </x:c>
      <x:c r="M32" s="39" t="str">
        <x:v>labarchive-integration</x:v>
      </x:c>
      <x:c r="N32" s="39" t="str">
        <x:v>GH-04-0028</x:v>
      </x:c>
      <x:c r="O32" s="36" t="str">
        <x:v>ELN、实验记录、库存、API、权限</x:v>
      </x:c>
      <x:c r="P32" s="36" t="str">
        <x:v>Agent Skills（兼容 Codex、Claude Code、Cursor 等）</x:v>
      </x:c>
      <x:c r="Q32" s="36" t="str">
        <x:v>社区 skill、GitHub 开源仓库</x:v>
      </x:c>
      <x:c r="R32" s="39" t="str">
        <x:v>MIT</x:v>
      </x:c>
      <x:c r="S32" s="41" t="n">
        <x:v>32822</x:v>
      </x:c>
      <x:c r="T32" s="42" t="n">
        <x:v>46237</x:v>
      </x:c>
      <x:c r="U32" s="36" t="str">
        <x:v>https://github.com/K-Dense-AI/scientific-agent-skills/blob/main/skills/labarchive-integration/SKILL.md</x:v>
      </x:c>
      <x:c r="V32" s="36" t="str">
        <x:v>https://github.com/K-Dense-AI/scientific-agent-skills</x:v>
      </x:c>
    </x:row>
    <x:row r="33" ht="92" customHeight="1">
      <x:c r="A33" s="37" t="n">
        <x:v>29</x:v>
      </x:c>
      <x:c r="B33" s="38" t="str">
        <x:v>04-08 信息来源台账与书目管理</x:v>
      </x:c>
      <x:c r="C33" s="38" t="str">
        <x:v>Zotero 网页翻译器开发</x:v>
      </x:c>
      <x:c r="D33" s="35" t="str">
        <x:v>分析网站结构并制作 Zotero 网页翻译器，以改善题名、作者和日期等书目信息的抓取与导入。</x:v>
      </x:c>
      <x:c r="E33" s="35" t="str">
        <x:v>适合学生、教师、图书馆人员使用。</x:v>
      </x:c>
      <x:c r="F33" s="35" t="str">
        <x:v>当 Zotero 不能从目标网站正确导入题名、作者等书目信息，需要制作或更新网页翻译器时使用。</x:v>
      </x:c>
      <x:c r="G33" s="35" t="str">
        <x:v>需要准备目标网站、能代表不同页面类型的样例网页、预期书目信息和 Zotero 测试环境。</x:v>
      </x:c>
      <x:c r="H33" s="35" t="str">
        <x:v>需要注意：网站改版、访问限制或反自动访问措施会使翻译器失效；许可证仍需另行核验。</x:v>
      </x:c>
      <x:c r="I33" s="37" t="str">
        <x:v>中</x:v>
      </x:c>
      <x:c r="J33" s="37" t="str">
        <x:v>B｜少量调整</x:v>
      </x:c>
      <x:c r="K33" s="35" t="str">
        <x:v>先为目标网站编写翻译规则和测试记录，用多种样例网页核对导入结果，再决定是否纳入馆内维护。</x:v>
      </x:c>
      <x:c r="L33" s="35" t="str">
        <x:v>说明已核验：已核对用途与使用说明；本次未安装、未运行，不能据此判断实际效果。</x:v>
      </x:c>
      <x:c r="M33" s="39" t="str">
        <x:v>develop-web-translator</x:v>
      </x:c>
      <x:c r="N33" s="39" t="str">
        <x:v>GH-04-0029</x:v>
      </x:c>
      <x:c r="O33" s="36" t="str">
        <x:v>Zotero Translator、网页元数据、测试、馆藏导入</x:v>
      </x:c>
      <x:c r="P33" s="36" t="str">
        <x:v>Zotero 开发工作流 / Agent Skill</x:v>
      </x:c>
      <x:c r="Q33" s="36" t="str">
        <x:v>社区 skill、GitHub 公开仓库（许可证待核）</x:v>
      </x:c>
      <x:c r="R33" s="39" t="str">
        <x:v>未明确</x:v>
      </x:c>
      <x:c r="S33" s="41" t="n">
        <x:v>1670</x:v>
      </x:c>
      <x:c r="T33" s="42" t="n">
        <x:v>46239</x:v>
      </x:c>
      <x:c r="U33" s="36" t="str">
        <x:v>https://github.com/zotero/translators/blob/master/.agent/skills/develop-web-translator/SKILL.md</x:v>
      </x:c>
      <x:c r="V33" s="36" t="str">
        <x:v>https://github.com/zotero/translators</x:v>
      </x:c>
    </x:row>
  </x:sheetData>
  <x:mergeCells>
    <x:mergeCell ref="A1:V1"/>
    <x:mergeCell ref="A2:V2"/>
    <x:mergeCell ref="A3:L3"/>
    <x:mergeCell ref="M3:V3"/>
  </x:mergeCells>
  <x:conditionalFormatting sqref="I5:I33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33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  <x:hyperlink ref="U10" r:id="rIdHyperlink11"/>
    <x:hyperlink ref="V10" r:id="rIdHyperlink12"/>
    <x:hyperlink ref="U11" r:id="rIdHyperlink13"/>
    <x:hyperlink ref="V11" r:id="rIdHyperlink14"/>
    <x:hyperlink ref="U12" r:id="rIdHyperlink15"/>
    <x:hyperlink ref="V12" r:id="rIdHyperlink16"/>
    <x:hyperlink ref="U13" r:id="rIdHyperlink17"/>
    <x:hyperlink ref="V13" r:id="rIdHyperlink18"/>
    <x:hyperlink ref="U14" r:id="rIdHyperlink19"/>
    <x:hyperlink ref="V14" r:id="rIdHyperlink20"/>
    <x:hyperlink ref="U15" r:id="rIdHyperlink21"/>
    <x:hyperlink ref="V15" r:id="rIdHyperlink22"/>
    <x:hyperlink ref="U16" r:id="rIdHyperlink23"/>
    <x:hyperlink ref="V16" r:id="rIdHyperlink24"/>
    <x:hyperlink ref="U17" r:id="rIdHyperlink25"/>
    <x:hyperlink ref="V17" r:id="rIdHyperlink26"/>
    <x:hyperlink ref="U18" r:id="rIdHyperlink27"/>
    <x:hyperlink ref="V18" r:id="rIdHyperlink28"/>
    <x:hyperlink ref="U19" r:id="rIdHyperlink29"/>
    <x:hyperlink ref="V19" r:id="rIdHyperlink30"/>
    <x:hyperlink ref="U20" r:id="rIdHyperlink31"/>
    <x:hyperlink ref="V20" r:id="rIdHyperlink32"/>
    <x:hyperlink ref="U21" r:id="rIdHyperlink33"/>
    <x:hyperlink ref="V21" r:id="rIdHyperlink34"/>
    <x:hyperlink ref="U22" r:id="rIdHyperlink35"/>
    <x:hyperlink ref="V22" r:id="rIdHyperlink36"/>
    <x:hyperlink ref="U23" r:id="rIdHyperlink37"/>
    <x:hyperlink ref="V23" r:id="rIdHyperlink38"/>
    <x:hyperlink ref="U24" r:id="rIdHyperlink39"/>
    <x:hyperlink ref="V24" r:id="rIdHyperlink40"/>
    <x:hyperlink ref="U25" r:id="rIdHyperlink41"/>
    <x:hyperlink ref="V25" r:id="rIdHyperlink42"/>
    <x:hyperlink ref="U26" r:id="rIdHyperlink43"/>
    <x:hyperlink ref="V26" r:id="rIdHyperlink44"/>
    <x:hyperlink ref="U27" r:id="rIdHyperlink45"/>
    <x:hyperlink ref="V27" r:id="rIdHyperlink46"/>
    <x:hyperlink ref="U28" r:id="rIdHyperlink47"/>
    <x:hyperlink ref="V28" r:id="rIdHyperlink48"/>
    <x:hyperlink ref="U29" r:id="rIdHyperlink49"/>
    <x:hyperlink ref="V29" r:id="rIdHyperlink50"/>
    <x:hyperlink ref="U30" r:id="rIdHyperlink51"/>
    <x:hyperlink ref="V30" r:id="rIdHyperlink52"/>
    <x:hyperlink ref="U31" r:id="rIdHyperlink53"/>
    <x:hyperlink ref="V31" r:id="rIdHyperlink54"/>
    <x:hyperlink ref="U32" r:id="rIdHyperlink55"/>
    <x:hyperlink ref="V32" r:id="rIdHyperlink56"/>
    <x:hyperlink ref="U33" r:id="rIdHyperlink57"/>
    <x:hyperlink ref="V33" r:id="rIdHyperlink58"/>
  </x:hyperlinks>
  <x:tableParts count="1">
    <x:tablePart xmlns:r="http://schemas.openxmlformats.org/officeDocument/2006/relationships" r:id="R6464ea1a154849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4" max="4" width="24" hidden="0" customWidth="1"/>
    <x:col min="7" max="7" width="24" hidden="0" customWidth="1"/>
    <x:col min="2" max="2" width="12" hidden="0" customWidth="1"/>
    <x:col min="5" max="5" width="12" hidden="0" customWidth="1"/>
    <x:col min="8" max="8" width="12" hidden="0" customWidth="1"/>
  </x:cols>
  <x:sheetData>
    <x:row r="1" ht="40" customHeight="1">
      <x:c r="A1" s="3" t="str">
        <x:v>图书馆与信息素养｜大分类总览｜分类统计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COUNTA('AI技能清单'!$N$5:$N$33)</x:f>
        <x:v>29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小分类</x:v>
      </x:c>
      <x:c r="B5" s="50" t="str">
        <x:v>数量</x:v>
      </x:c>
      <x:c r="C5" s="51"/>
      <x:c r="D5" s="50" t="str">
        <x:v>推荐程度</x:v>
      </x:c>
      <x:c r="E5" s="50" t="str">
        <x:v>数量</x:v>
      </x:c>
      <x:c r="F5" s="51"/>
      <x:c r="G5" s="50" t="str">
        <x:v>接入难度</x:v>
      </x:c>
      <x:c r="H5" s="50" t="str">
        <x:v>数量</x:v>
      </x:c>
    </x:row>
    <x:row r="6">
      <x:c r="A6" s="47" t="str">
        <x:v>04-01 基础信息素养与研究入门</x:v>
      </x:c>
      <x:c r="B6" s="52" t="n">
        <x:f>COUNTIF('AI技能清单'!$B$5:$B$33,A6)</x:f>
        <x:v>2</x:v>
      </x:c>
      <x:c r="C6" s="51"/>
      <x:c r="D6" s="52" t="str">
        <x:v>高</x:v>
      </x:c>
      <x:c r="E6" s="52" t="n">
        <x:f>COUNTIF('AI技能清单'!$I$5:$I$33,D6)</x:f>
        <x:v>11</x:v>
      </x:c>
      <x:c r="F6" s="51"/>
      <x:c r="G6" s="52" t="str">
        <x:v>A｜调整少</x:v>
      </x:c>
      <x:c r="H6" s="52" t="n">
        <x:f>COUNTIF('AI技能清单'!$J$5:$J$33,G6)</x:f>
        <x:v>0</x:v>
      </x:c>
    </x:row>
    <x:row r="7">
      <x:c r="A7" s="47" t="str">
        <x:v>04-02 信息来源判断与史料分析</x:v>
      </x:c>
      <x:c r="B7" s="52" t="n">
        <x:f>COUNTIF('AI技能清单'!$B$5:$B$33,A7)</x:f>
        <x:v>2</x:v>
      </x:c>
      <x:c r="C7" s="51"/>
      <x:c r="D7" s="52" t="str">
        <x:v>中</x:v>
      </x:c>
      <x:c r="E7" s="52" t="n">
        <x:f>COUNTIF('AI技能清单'!$I$5:$I$33,D7)</x:f>
        <x:v>18</x:v>
      </x:c>
      <x:c r="F7" s="51"/>
      <x:c r="G7" s="52" t="str">
        <x:v>B｜少量调整</x:v>
      </x:c>
      <x:c r="H7" s="52" t="n">
        <x:f>COUNTIF('AI技能清单'!$J$5:$J$33,G7)</x:f>
        <x:v>29</x:v>
      </x:c>
    </x:row>
    <x:row r="8">
      <x:c r="A8" s="47" t="str">
        <x:v>04-03 媒体与新闻素养教育</x:v>
      </x:c>
      <x:c r="B8" s="52" t="n">
        <x:f>COUNTIF('AI技能清单'!$B$5:$B$33,A8)</x:f>
        <x:v>2</x:v>
      </x:c>
      <x:c r="C8" s="51"/>
      <x:c r="D8" s="52" t="str">
        <x:v>其他</x:v>
      </x:c>
      <x:c r="E8" s="52" t="n">
        <x:f>COUNTIF('AI技能清单'!$I$5:$I$33,"&lt;&gt;高")-COUNTIF('AI技能清单'!$I$5:$I$33,"中")</x:f>
        <x:v>0</x:v>
      </x:c>
      <x:c r="F8" s="51"/>
      <x:c r="G8" s="52" t="str">
        <x:v>C｜较多调整</x:v>
      </x:c>
      <x:c r="H8" s="52" t="n">
        <x:f>COUNTIF('AI技能清单'!$J$5:$J$33,G8)</x:f>
        <x:v>0</x:v>
      </x:c>
    </x:row>
    <x:row r="9">
      <x:c r="A9" s="47" t="str">
        <x:v>04-04 事实核查与证据验证</x:v>
      </x:c>
      <x:c r="B9" s="52" t="n">
        <x:f>COUNTIF('AI技能清单'!$B$5:$B$33,A9)</x:f>
        <x:v>4</x:v>
      </x:c>
      <x:c r="C9" s="51"/>
      <x:c r="D9" s="51"/>
      <x:c r="E9" s="51"/>
      <x:c r="F9" s="51"/>
      <x:c r="G9" s="52" t="str">
        <x:v>D｜仅参考</x:v>
      </x:c>
      <x:c r="H9" s="52" t="n">
        <x:f>COUNTIF('AI技能清单'!$J$5:$J$33,G9)</x:f>
        <x:v>0</x:v>
      </x:c>
    </x:row>
    <x:row r="10">
      <x:c r="A10" s="47" t="str">
        <x:v>04-05 数据素养教育</x:v>
      </x:c>
      <x:c r="B10" s="52" t="n">
        <x:f>COUNTIF('AI技能清单'!$B$5:$B$33,A10)</x:f>
        <x:v>1</x:v>
      </x:c>
      <x:c r="C10" s="51"/>
      <x:c r="D10" s="51"/>
      <x:c r="E10" s="51"/>
      <x:c r="F10" s="51"/>
      <x:c r="G10" s="51"/>
      <x:c r="H10" s="51"/>
    </x:row>
    <x:row r="11">
      <x:c r="A11" s="47" t="str">
        <x:v>04-06 图书馆服务、活动与推广</x:v>
      </x:c>
      <x:c r="B11" s="52" t="n">
        <x:f>COUNTIF('AI技能清单'!$B$5:$B$33,A11)</x:f>
        <x:v>2</x:v>
      </x:c>
      <x:c r="C11" s="51"/>
      <x:c r="D11" s="51"/>
      <x:c r="E11" s="51"/>
      <x:c r="F11" s="51"/>
      <x:c r="G11" s="51"/>
      <x:c r="H11" s="51"/>
    </x:row>
    <x:row r="12">
      <x:c r="A12" s="47" t="str">
        <x:v>04-07 数字图书馆与技术建设</x:v>
      </x:c>
      <x:c r="B12" s="52" t="n">
        <x:f>COUNTIF('AI技能清单'!$B$5:$B$33,A12)</x:f>
        <x:v>2</x:v>
      </x:c>
      <x:c r="C12" s="51"/>
      <x:c r="D12" s="51"/>
      <x:c r="E12" s="51"/>
      <x:c r="F12" s="51"/>
      <x:c r="G12" s="51"/>
      <x:c r="H12" s="51"/>
    </x:row>
    <x:row r="13">
      <x:c r="A13" s="47" t="str">
        <x:v>04-08 信息来源台账与书目管理</x:v>
      </x:c>
      <x:c r="B13" s="52" t="n">
        <x:f>COUNTIF('AI技能清单'!$B$5:$B$33,A13)</x:f>
        <x:v>2</x:v>
      </x:c>
      <x:c r="C13" s="51"/>
      <x:c r="D13" s="51"/>
      <x:c r="E13" s="51"/>
      <x:c r="F13" s="51"/>
      <x:c r="G13" s="51"/>
      <x:c r="H13" s="51"/>
    </x:row>
    <x:row r="14">
      <x:c r="A14" s="47" t="str">
        <x:v>04-09 馆藏目录、机构知识库与开放资源发现</x:v>
      </x:c>
      <x:c r="B14" s="52" t="n">
        <x:f>COUNTIF('AI技能清单'!$B$5:$B$33,A14)</x:f>
        <x:v>4</x:v>
      </x:c>
      <x:c r="C14" s="51"/>
      <x:c r="D14" s="51"/>
      <x:c r="E14" s="51"/>
      <x:c r="F14" s="51"/>
      <x:c r="G14" s="51"/>
      <x:c r="H14" s="51"/>
    </x:row>
    <x:row r="15">
      <x:c r="A15" s="47" t="str">
        <x:v>04-10 元数据、术语与数据规范</x:v>
      </x:c>
      <x:c r="B15" s="52" t="n">
        <x:f>COUNTIF('AI技能清单'!$B$5:$B$33,A15)</x:f>
        <x:v>2</x:v>
      </x:c>
      <x:c r="C15" s="51"/>
      <x:c r="D15" s="51"/>
      <x:c r="E15" s="51"/>
      <x:c r="F15" s="51"/>
      <x:c r="G15" s="51"/>
      <x:c r="H15" s="51"/>
    </x:row>
    <x:row r="16">
      <x:c r="A16" s="47" t="str">
        <x:v>04-11 开放科学与科研数据管理</x:v>
      </x:c>
      <x:c r="B16" s="52" t="n">
        <x:f>COUNTIF('AI技能清单'!$B$5:$B$33,A16)</x:f>
        <x:v>4</x:v>
      </x:c>
      <x:c r="C16" s="51"/>
      <x:c r="D16" s="51"/>
      <x:c r="E16" s="51"/>
      <x:c r="F16" s="51"/>
      <x:c r="G16" s="51"/>
      <x:c r="H16" s="51"/>
    </x:row>
    <x:row r="17">
      <x:c r="A17" s="47" t="str">
        <x:v>04-12 个人文献库与实验记录系统集成</x:v>
      </x:c>
      <x:c r="B17" s="52" t="n">
        <x:f>COUNTIF('AI技能清单'!$B$5:$B$33,A17)</x:f>
        <x:v>2</x:v>
      </x:c>
      <x:c r="C17" s="51"/>
      <x:c r="D17" s="51"/>
      <x:c r="E17" s="51"/>
      <x:c r="F17" s="51"/>
      <x:c r="G17" s="51"/>
      <x:c r="H17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图书馆与信息素养｜大分类总览｜来源清单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ASI2030/Fact-Check-X</x:v>
      </x:c>
      <x:c r="B5" s="35" t="str">
        <x:v>https://github.com/ASI2030/Fact-Check-X</x:v>
      </x:c>
      <x:c r="C5" s="35" t="str">
        <x:v>社区 skill、GitHub 开源仓库</x:v>
      </x:c>
      <x:c r="D5" s="35" t="str">
        <x:v>Apache-2.0</x:v>
      </x:c>
      <x:c r="E5" s="56" t="n">
        <x:v>0</x:v>
      </x:c>
      <x:c r="F5" s="57" t="n">
        <x:v>46233</x:v>
      </x:c>
      <x:c r="G5" s="38" t="n">
        <x:f>COUNTIF('AI技能清单'!$V$5:$V$33,B5)</x:f>
        <x:v>2</x:v>
      </x:c>
    </x:row>
    <x:row r="6" ht="68" customHeight="1">
      <x:c r="A6" s="35" t="str">
        <x:v>AhmedAnwar-Gazy/latex_templet</x:v>
      </x:c>
      <x:c r="B6" s="35" t="str">
        <x:v>https://github.com/AhmedAnwar-Gazy/latex_templet</x:v>
      </x:c>
      <x:c r="C6" s="35" t="str">
        <x:v>社区 skill、GitHub 公开仓库（许可证待核）</x:v>
      </x:c>
      <x:c r="D6" s="35" t="str">
        <x:v>未明确</x:v>
      </x:c>
      <x:c r="E6" s="56" t="n">
        <x:v>1</x:v>
      </x:c>
      <x:c r="F6" s="57" t="n">
        <x:v>46150</x:v>
      </x:c>
      <x:c r="G6" s="38" t="n">
        <x:f>COUNTIF('AI技能清单'!$V$5:$V$33,B6)</x:f>
        <x:v>1</x:v>
      </x:c>
    </x:row>
    <x:row r="7" ht="68" customHeight="1">
      <x:c r="A7" s="35" t="str">
        <x:v>Albert-Libra/nanobot-zotero-bridge</x:v>
      </x:c>
      <x:c r="B7" s="35" t="str">
        <x:v>https://github.com/Albert-Libra/nanobot-zotero-bridge</x:v>
      </x:c>
      <x:c r="C7" s="35" t="str">
        <x:v>社区 skill、GitHub 公开仓库（许可证待核）</x:v>
      </x:c>
      <x:c r="D7" s="35" t="str">
        <x:v>未明确</x:v>
      </x:c>
      <x:c r="E7" s="56" t="n">
        <x:v>3</x:v>
      </x:c>
      <x:c r="F7" s="57" t="n">
        <x:v>46174</x:v>
      </x:c>
      <x:c r="G7" s="38" t="n">
        <x:f>COUNTIF('AI技能清单'!$V$5:$V$33,B7)</x:f>
        <x:v>1</x:v>
      </x:c>
    </x:row>
    <x:row r="8" ht="68" customHeight="1">
      <x:c r="A8" s="35" t="str">
        <x:v>K-Dense-AI/scientific-agent-skills</x:v>
      </x:c>
      <x:c r="B8" s="35" t="str">
        <x:v>https://github.com/K-Dense-AI/scientific-agent-skills</x:v>
      </x:c>
      <x:c r="C8" s="35" t="str">
        <x:v>社区 skill、GitHub 开源仓库</x:v>
      </x:c>
      <x:c r="D8" s="35" t="str">
        <x:v>MIT</x:v>
      </x:c>
      <x:c r="E8" s="56" t="n">
        <x:v>32822</x:v>
      </x:c>
      <x:c r="F8" s="57" t="n">
        <x:v>46237</x:v>
      </x:c>
      <x:c r="G8" s="38" t="n">
        <x:f>COUNTIF('AI技能清单'!$V$5:$V$33,B8)</x:f>
        <x:v>2</x:v>
      </x:c>
    </x:row>
    <x:row r="9" ht="68" customHeight="1">
      <x:c r="A9" s="35" t="str">
        <x:v>SamaritanOC/fact-checker</x:v>
      </x:c>
      <x:c r="B9" s="35" t="str">
        <x:v>https://github.com/SamaritanOC/fact-checker</x:v>
      </x:c>
      <x:c r="C9" s="35" t="str">
        <x:v>社区 skill、GitHub 公开仓库（许可证待核）</x:v>
      </x:c>
      <x:c r="D9" s="35" t="str">
        <x:v>未明确</x:v>
      </x:c>
      <x:c r="E9" s="56" t="n">
        <x:v>0</x:v>
      </x:c>
      <x:c r="F9" s="57" t="n">
        <x:v>46160</x:v>
      </x:c>
      <x:c r="G9" s="38" t="n">
        <x:f>COUNTIF('AI技能清单'!$V$5:$V$33,B9)</x:f>
        <x:v>1</x:v>
      </x:c>
    </x:row>
    <x:row r="10" ht="68" customHeight="1">
      <x:c r="A10" s="35" t="str">
        <x:v>Tibsfox/gsd-skill-creator</x:v>
      </x:c>
      <x:c r="B10" s="35" t="str">
        <x:v>https://github.com/Tibsfox/gsd-skill-creator</x:v>
      </x:c>
      <x:c r="C10" s="35" t="str">
        <x:v>社区 skill、GitHub 公开仓库（许可证待核）</x:v>
      </x:c>
      <x:c r="D10" s="35" t="str">
        <x:v>NOASSERTION</x:v>
      </x:c>
      <x:c r="E10" s="56" t="n">
        <x:v>69</x:v>
      </x:c>
      <x:c r="F10" s="57" t="n">
        <x:v>46222</x:v>
      </x:c>
      <x:c r="G10" s="38" t="n">
        <x:f>COUNTIF('AI技能清单'!$V$5:$V$33,B10)</x:f>
        <x:v>4</x:v>
      </x:c>
    </x:row>
    <x:row r="11" ht="68" customHeight="1">
      <x:c r="A11" s="35" t="str">
        <x:v>dandye/ai-runbooks</x:v>
      </x:c>
      <x:c r="B11" s="35" t="str">
        <x:v>https://github.com/dandye/ai-runbooks</x:v>
      </x:c>
      <x:c r="C11" s="35" t="str">
        <x:v>社区 skill、GitHub 开源仓库</x:v>
      </x:c>
      <x:c r="D11" s="35" t="str">
        <x:v>Apache-2.0</x:v>
      </x:c>
      <x:c r="E11" s="56" t="n">
        <x:v>120</x:v>
      </x:c>
      <x:c r="F11" s="57" t="n">
        <x:v>46238</x:v>
      </x:c>
      <x:c r="G11" s="38" t="n">
        <x:f>COUNTIF('AI技能清单'!$V$5:$V$33,B11)</x:f>
        <x:v>1</x:v>
      </x:c>
    </x:row>
    <x:row r="12" ht="68" customHeight="1">
      <x:c r="A12" s="35" t="str">
        <x:v>lionelsimai/claude-skills-collection</x:v>
      </x:c>
      <x:c r="B12" s="35" t="str">
        <x:v>https://github.com/lionelsimai/claude-skills-collection</x:v>
      </x:c>
      <x:c r="C12" s="35" t="str">
        <x:v>社区 skill、GitHub 开源仓库</x:v>
      </x:c>
      <x:c r="D12" s="35" t="str">
        <x:v>MIT</x:v>
      </x:c>
      <x:c r="E12" s="56" t="n">
        <x:v>20</x:v>
      </x:c>
      <x:c r="F12" s="57" t="n">
        <x:v>46061</x:v>
      </x:c>
      <x:c r="G12" s="38" t="n">
        <x:f>COUNTIF('AI技能清单'!$V$5:$V$33,B12)</x:f>
        <x:v>8</x:v>
      </x:c>
    </x:row>
    <x:row r="13" ht="68" customHeight="1">
      <x:c r="A13" s="35" t="str">
        <x:v>scdenney/open-science-skills</x:v>
      </x:c>
      <x:c r="B13" s="35" t="str">
        <x:v>https://github.com/scdenney/open-science-skills</x:v>
      </x:c>
      <x:c r="C13" s="35" t="str">
        <x:v>社区 skill、GitHub 公开仓库（许可证待核）</x:v>
      </x:c>
      <x:c r="D13" s="35" t="str">
        <x:v>NOASSERTION</x:v>
      </x:c>
      <x:c r="E13" s="56" t="n">
        <x:v>39</x:v>
      </x:c>
      <x:c r="F13" s="57" t="n">
        <x:v>46240</x:v>
      </x:c>
      <x:c r="G13" s="38" t="n">
        <x:f>COUNTIF('AI技能清单'!$V$5:$V$33,B13)</x:f>
        <x:v>1</x:v>
      </x:c>
    </x:row>
    <x:row r="14" ht="68" customHeight="1">
      <x:c r="A14" s="35" t="str">
        <x:v>wentorai/research-plugins</x:v>
      </x:c>
      <x:c r="B14" s="35" t="str">
        <x:v>https://github.com/wentorai/research-plugins</x:v>
      </x:c>
      <x:c r="C14" s="35" t="str">
        <x:v>社区 skill、GitHub 开源仓库</x:v>
      </x:c>
      <x:c r="D14" s="35" t="str">
        <x:v>MIT</x:v>
      </x:c>
      <x:c r="E14" s="56" t="n">
        <x:v>270</x:v>
      </x:c>
      <x:c r="F14" s="57" t="n">
        <x:v>46192</x:v>
      </x:c>
      <x:c r="G14" s="38" t="n">
        <x:f>COUNTIF('AI技能清单'!$V$5:$V$33,B14)</x:f>
        <x:v>6</x:v>
      </x:c>
    </x:row>
    <x:row r="15" ht="68" customHeight="1">
      <x:c r="A15" s="35" t="str">
        <x:v>wu-yc/LabClaw</x:v>
      </x:c>
      <x:c r="B15" s="35" t="str">
        <x:v>https://github.com/wu-yc/LabClaw</x:v>
      </x:c>
      <x:c r="C15" s="35" t="str">
        <x:v>社区 skill、GitHub 公开仓库（许可证待核）</x:v>
      </x:c>
      <x:c r="D15" s="35" t="str">
        <x:v>未明确</x:v>
      </x:c>
      <x:c r="E15" s="56" t="n">
        <x:v>1044</x:v>
      </x:c>
      <x:c r="F15" s="57" t="n">
        <x:v>46100</x:v>
      </x:c>
      <x:c r="G15" s="38" t="n">
        <x:f>COUNTIF('AI技能清单'!$V$5:$V$33,B15)</x:f>
        <x:v>1</x:v>
      </x:c>
    </x:row>
    <x:row r="16" ht="68" customHeight="1">
      <x:c r="A16" s="35" t="str">
        <x:v>zotero/translators</x:v>
      </x:c>
      <x:c r="B16" s="35" t="str">
        <x:v>https://github.com/zotero/translators</x:v>
      </x:c>
      <x:c r="C16" s="35" t="str">
        <x:v>社区 skill、GitHub 公开仓库（许可证待核）</x:v>
      </x:c>
      <x:c r="D16" s="35" t="str">
        <x:v>未明确</x:v>
      </x:c>
      <x:c r="E16" s="56" t="n">
        <x:v>1670</x:v>
      </x:c>
      <x:c r="F16" s="57" t="n">
        <x:v>46239</x:v>
      </x:c>
      <x:c r="G16" s="38" t="n">
        <x:f>COUNTIF('AI技能清单'!$V$5:$V$33,B16)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  <x:hyperlink ref="B9" r:id="rIdHyperlink5"/>
    <x:hyperlink ref="B10" r:id="rIdHyperlink6"/>
    <x:hyperlink ref="B11" r:id="rIdHyperlink7"/>
    <x:hyperlink ref="B12" r:id="rIdHyperlink8"/>
    <x:hyperlink ref="B13" r:id="rIdHyperlink9"/>
    <x:hyperlink ref="B14" r:id="rIdHyperlink10"/>
    <x:hyperlink ref="B15" r:id="rIdHyperlink11"/>
    <x:hyperlink ref="B16" r:id="rIdHyperlink12"/>
  </x:hyperlinks>
  <x:tableParts count="1">
    <x:tablePart xmlns:r="http://schemas.openxmlformats.org/officeDocument/2006/relationships" r:id="Rfc291b530b4a4ff2"/>
  </x:tableParts>
</x:worksheet>
</file>