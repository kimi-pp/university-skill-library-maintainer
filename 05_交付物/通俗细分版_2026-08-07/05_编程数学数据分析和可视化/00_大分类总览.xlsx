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6fd8b9fa9964bb0" /></Relationships>
</file>

<file path=xl/workbook.xml><?xml version="1.0" encoding="utf-8"?>
<x:workbook xmlns:x="http://schemas.openxmlformats.org/spreadsheetml/2006/main">
  <x:sheets>
    <x:sheet xmlns:r="http://schemas.openxmlformats.org/officeDocument/2006/relationships" name="使用说明" sheetId="1" r:id="R491eb27989c7499a"/>
    <x:sheet xmlns:r="http://schemas.openxmlformats.org/officeDocument/2006/relationships" name="AI技能清单" sheetId="2" r:id="R2d7b08b6edb94cbf"/>
    <x:sheet xmlns:r="http://schemas.openxmlformats.org/officeDocument/2006/relationships" name="分类统计" sheetId="3" r:id="R7d4dad11b55b42d4"/>
    <x:sheet xmlns:r="http://schemas.openxmlformats.org/officeDocument/2006/relationships" name="来源清单" sheetId="4" r:id="R39604f80ebe24654"/>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x:numFmts>
  <x:fonts count="9">
    <x:font>
      <x:sz val="11"/>
      <x:name val="Carlito"/>
    </x:font>
    <x:font>
      <x:b/>
      <x:sz val="19"/>
      <x:color rgb="FFFFFFFF"/>
      <x:name val="Microsoft YaHei"/>
    </x:font>
    <x:font>
      <x:i/>
      <x:sz val="11"/>
      <x:color rgb="FF16324F"/>
      <x:name val="Microsoft YaHei"/>
    </x:font>
    <x:font>
      <x:b/>
      <x:sz val="11"/>
      <x:color rgb="FFFFFFFF"/>
      <x:name val="Microsoft YaHei"/>
    </x:font>
    <x:font>
      <x:b/>
      <x:sz val="11"/>
      <x:color rgb="FF16324F"/>
      <x:name val="Carlito"/>
    </x:font>
    <x:font>
      <x:b/>
      <x:sz val="11"/>
      <x:color rgb="FFFFFFFF"/>
      <x:name val="Carlito"/>
    </x:font>
    <x:font>
      <x:b/>
      <x:sz val="11"/>
      <x:color rgb="FF52606D"/>
      <x:name val="Carlito"/>
    </x:font>
    <x:font>
      <x:sz val="11"/>
      <x:color rgb="FF1F2933"/>
      <x:name val="Microsoft YaHei"/>
    </x:font>
    <x:font>
      <x:sz val="11"/>
      <x:color rgb="FF52606D"/>
      <x:name val="Microsoft YaHei"/>
    </x:font>
  </x:fonts>
  <x:fills count="8">
    <x:fill>
      <x:patternFill patternType="none"/>
    </x:fill>
    <x:fill>
      <x:patternFill patternType="gray125"/>
    </x:fill>
    <x:fill>
      <x:patternFill patternType="solid">
        <x:fgColor rgb="FF16324F"/>
      </x:patternFill>
    </x:fill>
    <x:fill>
      <x:patternFill patternType="solid">
        <x:fgColor rgb="FFE7F3F4"/>
      </x:patternFill>
    </x:fill>
    <x:fill>
      <x:patternFill patternType="solid">
        <x:fgColor rgb="FF1F7A8C"/>
      </x:patternFill>
    </x:fill>
    <x:fill>
      <x:patternFill patternType="solid">
        <x:fgColor rgb="FFEAF2F8"/>
      </x:patternFill>
    </x:fill>
    <x:fill>
      <x:patternFill patternType="solid">
        <x:fgColor rgb="FFFFFFFF"/>
      </x:patternFill>
    </x:fill>
    <x:fill>
      <x:patternFill patternType="solid">
        <x:fgColor rgb="FFF2F5F7"/>
      </x:patternFill>
    </x:fill>
  </x:fills>
  <x:borders count="2">
    <x:border/>
    <x:border>
      <x:left style="thin">
        <x:color rgb="FFCBD5E1"/>
      </x:left>
      <x:right style="thin">
        <x:color rgb="FFCBD5E1"/>
      </x:right>
      <x:top style="thin">
        <x:color rgb="FFCBD5E1"/>
      </x:top>
      <x:bottom style="thin">
        <x:color rgb="FFCBD5E1"/>
      </x:bottom>
    </x:border>
  </x:borders>
  <x:cellStyleXfs count="1">
    <x:xf numFmtId="0" fontId="0" fillId="0" borderId="0"/>
  </x:cellStyleXfs>
  <x:cellXfs count="5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3" fillId="4" borderId="1" xfId="0" applyNumberFormat="1" applyFont="1" applyFill="1" applyBorder="1" applyAlignment="1">
      <x:alignment horizontal="center" vertical="center" wrapText="1"/>
    </x:xf>
    <x:xf numFmtId="0" fontId="0" fillId="0" borderId="1"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0" fillId="6" borderId="1" xfId="0" applyNumberFormat="1" applyFont="1" applyFill="1" applyBorder="1"/>
    <x:xf numFmtId="0" fontId="0" fillId="6" borderId="1" xfId="0" applyNumberFormat="1" applyFont="1" applyFill="1" applyBorder="1" applyAlignment="1">
      <x:alignment wrapText="1"/>
    </x:xf>
    <x:xf numFmtId="0" fontId="0" fillId="6" borderId="1" xfId="0" applyNumberFormat="1" applyFont="1" applyFill="1" applyBorder="1" applyAlignment="1">
      <x:alignment vertical="top" wrapText="1"/>
    </x:xf>
    <x:xf numFmtId="0" fontId="5" fillId="2" borderId="0" xfId="0" applyNumberFormat="1" applyFont="1" applyFill="1" applyBorder="1"/>
    <x:xf numFmtId="0" fontId="0" fillId="7" borderId="1" xfId="0" applyNumberFormat="1" applyFont="1" applyFill="1" applyBorder="1"/>
    <x:xf numFmtId="0" fontId="0" fillId="7" borderId="1" xfId="0" applyNumberFormat="1" applyFont="1" applyFill="1" applyBorder="1" applyAlignment="1">
      <x:alignment wrapText="1"/>
    </x:xf>
    <x:xf numFmtId="0" fontId="0" fillId="7" borderId="1" xfId="0" applyNumberFormat="1" applyFont="1" applyFill="1" applyBorder="1" applyAlignment="1">
      <x:alignment vertical="top" wrapText="1"/>
    </x:xf>
    <x:xf numFmtId="0" fontId="0" fillId="7" borderId="1" xfId="0" applyNumberFormat="1" applyFont="1" applyFill="1" applyBorder="1" applyAlignment="1">
      <x:alignment horizontal="center" vertical="top"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horizontal="center"/>
    </x:xf>
    <x:xf numFmtId="0" fontId="7" fillId="6" borderId="1" xfId="0" applyNumberFormat="1" applyFont="1" applyFill="1" applyBorder="1"/>
    <x:xf numFmtId="0" fontId="7" fillId="6" borderId="1" xfId="0" applyNumberFormat="1" applyFont="1" applyFill="1" applyBorder="1" applyAlignment="1">
      <x:alignment vertical="top"/>
    </x:xf>
    <x:xf numFmtId="0" fontId="8" fillId="7" borderId="1" xfId="0" applyNumberFormat="1" applyFont="1" applyFill="1" applyBorder="1"/>
    <x:xf numFmtId="0" fontId="8" fillId="7" borderId="1" xfId="0" applyNumberFormat="1" applyFont="1" applyFill="1" applyBorder="1" applyAlignment="1">
      <x:alignment vertical="top"/>
    </x:xf>
    <x:xf numFmtId="0" fontId="7" fillId="6" borderId="1" xfId="0" applyNumberFormat="1" applyFont="1" applyFill="1" applyBorder="1" applyAlignment="1">
      <x:alignment vertical="top" wrapText="1"/>
    </x:xf>
    <x:xf numFmtId="0" fontId="8" fillId="7" borderId="1" xfId="0" applyNumberFormat="1" applyFont="1" applyFill="1" applyBorder="1" applyAlignment="1">
      <x:alignment vertical="top" wrapText="1"/>
    </x:xf>
    <x:xf numFmtId="0" fontId="7" fillId="6" borderId="1" xfId="0" applyNumberFormat="1" applyFont="1" applyFill="1" applyBorder="1" applyAlignment="1">
      <x:alignment horizontal="center" vertical="top"/>
    </x:xf>
    <x:xf numFmtId="0" fontId="7" fillId="6" borderId="1" xfId="0" applyNumberFormat="1" applyFont="1" applyFill="1" applyBorder="1" applyAlignment="1">
      <x:alignment horizontal="center" vertical="top" wrapText="1"/>
    </x:xf>
    <x:xf numFmtId="0" fontId="8" fillId="7" borderId="1" xfId="0" applyNumberFormat="1" applyFont="1" applyFill="1" applyBorder="1" applyAlignment="1">
      <x:alignment horizontal="center" vertical="top" wrapText="1"/>
    </x:xf>
    <x:xf numFmtId="0" fontId="8" fillId="7" borderId="1" xfId="0" applyNumberFormat="1" applyFont="1" applyFill="1" applyBorder="1" applyAlignment="1">
      <x:alignment horizontal="center" vertical="top"/>
    </x:xf>
    <x:xf numFmtId="200" fontId="8" fillId="7" borderId="1" xfId="0" applyNumberFormat="1" applyFont="1" applyFill="1" applyBorder="1" applyAlignment="1">
      <x:alignment horizontal="center" vertical="top"/>
    </x:xf>
    <x:xf numFmtId="201" fontId="8" fillId="7" borderId="1" xfId="0" applyNumberFormat="1" applyFont="1" applyFill="1" applyBorder="1" applyAlignment="1">
      <x:alignment horizontal="center" vertical="top"/>
    </x:xf>
    <x:xf numFmtId="0" fontId="4" fillId="5" borderId="1" xfId="0" applyNumberFormat="1" applyFont="1" applyFill="1" applyBorder="1" applyAlignment="1">
      <x:alignment horizont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200" fontId="4" fillId="5" borderId="1" xfId="0" applyNumberFormat="1" applyFont="1" applyFill="1" applyBorder="1" applyAlignment="1">
      <x:alignment horizontal="center"/>
    </x:xf>
    <x:xf numFmtId="200" fontId="0" fillId="0" borderId="0" xfId="0" applyNumberFormat="1" applyFont="1" applyFill="1" applyBorder="1"/>
    <x:xf numFmtId="200" fontId="3" fillId="4" borderId="1" xfId="0" applyNumberFormat="1" applyFont="1" applyFill="1" applyBorder="1" applyAlignment="1">
      <x:alignment horizontal="center" vertical="center" wrapText="1"/>
    </x:xf>
    <x:xf numFmtId="200" fontId="0" fillId="0" borderId="0" xfId="0" applyNumberFormat="1" applyFont="1" applyFill="1" applyBorder="1" applyAlignment="1">
      <x:alignment vertical="center" wrapText="1"/>
    </x:xf>
    <x:xf numFmtId="200" fontId="0" fillId="0" borderId="1" xfId="0" applyNumberFormat="1" applyFont="1" applyFill="1" applyBorder="1" applyAlignment="1">
      <x:alignment vertical="center" wrapText="1"/>
    </x:xf>
    <x:xf numFmtId="0" fontId="7" fillId="6" borderId="1" xfId="0" applyNumberFormat="1" applyFont="1" applyFill="1" applyBorder="1" applyAlignment="1">
      <x:alignment wrapText="1"/>
    </x:xf>
    <x:xf numFmtId="200" fontId="7" fillId="6" borderId="1" xfId="0" applyNumberFormat="1" applyFont="1" applyFill="1" applyBorder="1" applyAlignment="1">
      <x:alignment vertical="top" wrapText="1"/>
    </x:xf>
    <x:xf numFmtId="201" fontId="7" fillId="6" borderId="1" xfId="0" applyNumberFormat="1" applyFont="1" applyFill="1" applyBorder="1" applyAlignment="1">
      <x:alignment vertical="top" wrapText="1"/>
    </x:xf>
    <x:xf numFmtId="200" fontId="7" fillId="6" borderId="1" xfId="0" applyNumberFormat="1" applyFont="1" applyFill="1" applyBorder="1" applyAlignment="1">
      <x:alignment horizontal="center" vertical="top" wrapText="1"/>
    </x:xf>
    <x:xf numFmtId="201" fontId="7" fillId="6" borderId="1" xfId="0" applyNumberFormat="1" applyFont="1" applyFill="1" applyBorder="1" applyAlignment="1">
      <x:alignment horizontal="center" vertical="top" wrapText="1"/>
    </x:xf>
  </x:cellXfs>
  <x:cellStyles count="1">
    <x:cellStyle name="Normal" xfId="0"/>
  </x:cellStyles>
  <x:dxfs count="6">
    <x:dxf>
      <x:font>
        <x:b/>
        <x:color rgb="FF176B3A"/>
      </x:font>
      <x:fill>
        <x:patternFill patternType="solid">
          <x:bgColor rgb="FFDDF3E4"/>
        </x:patternFill>
      </x:fill>
    </x:dxf>
    <x:dxf>
      <x:font>
        <x:color rgb="FF8A5A00"/>
      </x:font>
      <x:fill>
        <x:patternFill patternType="solid">
          <x:bgColor rgb="FFFFF0C7"/>
        </x:patternFill>
      </x:fill>
    </x:dxf>
    <x:dxf>
      <x:font>
        <x:b/>
        <x:color rgb="FF176B3A"/>
      </x:font>
      <x:fill>
        <x:patternFill patternType="solid">
          <x:bgColor rgb="FFDDF3E4"/>
        </x:patternFill>
      </x:fill>
    </x:dxf>
    <x:dxf>
      <x:font>
        <x:b/>
        <x:color rgb="FF16324F"/>
      </x:font>
      <x:fill>
        <x:patternFill patternType="solid">
          <x:bgColor rgb="FFE7F3F4"/>
        </x:patternFill>
      </x:fill>
    </x:dxf>
    <x:dxf>
      <x:font>
        <x:color rgb="FF8A5A00"/>
      </x:font>
      <x:fill>
        <x:patternFill patternType="solid">
          <x:bgColor rgb="FFFFF0C7"/>
        </x:patternFill>
      </x:fill>
    </x:dxf>
    <x:dxf>
      <x:font>
        <x:color rgb="FF8A1C1C"/>
      </x:font>
      <x:fill>
        <x:patternFill patternType="solid">
          <x:bgColor rgb="FFFADBD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58d400eaa8345aa" /><Relationship Type="http://schemas.openxmlformats.org/officeDocument/2006/relationships/theme" Target="/xl/theme/theme1.xml" Id="R7c01f1f428d44a09" /><Relationship Type="http://schemas.openxmlformats.org/officeDocument/2006/relationships/sharedStrings" Target="/xl/sharedStrings.xml" Id="R3fa6ba1a30364a3e" /><Relationship Type="http://schemas.openxmlformats.org/officeDocument/2006/relationships/worksheet" Target="/xl/worksheets/sheet1.xml" Id="R491eb27989c7499a" /><Relationship Type="http://schemas.openxmlformats.org/officeDocument/2006/relationships/worksheet" Target="/xl/worksheets/sheet2.xml" Id="R2d7b08b6edb94cbf" /><Relationship Type="http://schemas.openxmlformats.org/officeDocument/2006/relationships/worksheet" Target="/xl/worksheets/sheet3.xml" Id="R7d4dad11b55b42d4" /><Relationship Type="http://schemas.openxmlformats.org/officeDocument/2006/relationships/worksheet" Target="/xl/worksheets/sheet4.xml" Id="R39604f80ebe24654" /></Relationships>
</file>

<file path=xl/tables/table1.xml><?xml version="1.0" encoding="utf-8"?>
<x:table xmlns:x="http://schemas.openxmlformats.org/spreadsheetml/2006/main" id="1" name="SkillTable05overview" displayName="SkillTable05overview" ref="A4:V59" headerRowCount="1" totalsRowCount="0" totalsRowShown="0">
  <x:autoFilter ref="A4:V59"/>
  <x:tableColumns count="22">
    <x:tableColumn id="1" name="序号"/>
    <x:tableColumn id="2" name="小分类"/>
    <x:tableColumn id="3" name="中文名称"/>
    <x:tableColumn id="4" name="主要用途"/>
    <x:tableColumn id="5" name="适用人员"/>
    <x:tableColumn id="6" name="典型场景"/>
    <x:tableColumn id="7" name="使用前准备"/>
    <x:tableColumn id="8" name="注意事项"/>
    <x:tableColumn id="9" name="推荐程度"/>
    <x:tableColumn id="10" name="接入难度"/>
    <x:tableColumn id="11" name="接入建议"/>
    <x:tableColumn id="12" name="本次核验"/>
    <x:tableColumn id="13" name="英文名称"/>
    <x:tableColumn id="14" name="内部编号"/>
    <x:tableColumn id="15" name="功能标签"/>
    <x:tableColumn id="16" name="原生生态"/>
    <x:tableColumn id="17" name="来源形态"/>
    <x:tableColumn id="18" name="许可证"/>
    <x:tableColumn id="19" name="GitHub 关注数"/>
    <x:tableColumn id="20" name="最近更新"/>
    <x:tableColumn id="21" name="Skill 地址"/>
    <x:tableColumn id="22" name="仓库地址"/>
  </x:tableColumns>
  <x:tableStyleInfo name="TableStyleMedium2" showFirstColumn="0" showLastColumn="0" showRowStripes="0" showColumnStripes="0"/>
</x:table>
</file>

<file path=xl/tables/table2.xml><?xml version="1.0" encoding="utf-8"?>
<x:table xmlns:x="http://schemas.openxmlformats.org/spreadsheetml/2006/main" id="2" name="SourceTable05overview" displayName="SourceTable05overview" ref="A4:G10" headerRowCount="1" totalsRowCount="0" totalsRowShown="0">
  <x:autoFilter ref="A4:G10"/>
  <x:tableColumns count="7">
    <x:tableColumn id="1" name="仓库名称"/>
    <x:tableColumn id="2" name="仓库地址"/>
    <x:tableColumn id="3" name="来源形态"/>
    <x:tableColumn id="4" name="许可证"/>
    <x:tableColumn id="5" name="GitHub 关注数"/>
    <x:tableColumn id="6" name="最近更新"/>
    <x:tableColumn id="7" name="入选数量"/>
  </x:tableColumns>
  <x:tableStyleInfo name="TableStyleMedium2"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a5c3514a66f4d2b" /><Relationship Id="rIdHyperlink1" Type="http://schemas.openxmlformats.org/officeDocument/2006/relationships/hyperlink" Target="https://github.com/K-Dense-AI/scientific-agent-skills/blob/main/skills/get-available-resources/SKILL.md" TargetMode="External" /><Relationship Id="rIdHyperlink2" Type="http://schemas.openxmlformats.org/officeDocument/2006/relationships/hyperlink" Target="https://github.com/K-Dense-AI/scientific-agent-skills" TargetMode="External" /><Relationship Id="rIdHyperlink3" Type="http://schemas.openxmlformats.org/officeDocument/2006/relationships/hyperlink" Target="https://github.com/K-Dense-AI/scientific-agent-skills/blob/main/skills/exploratory-data-analysis/SKILL.md" TargetMode="External" /><Relationship Id="rIdHyperlink4" Type="http://schemas.openxmlformats.org/officeDocument/2006/relationships/hyperlink" Target="https://github.com/K-Dense-AI/scientific-agent-skills" TargetMode="External" /><Relationship Id="rIdHyperlink5" Type="http://schemas.openxmlformats.org/officeDocument/2006/relationships/hyperlink" Target="https://github.com/K-Dense-AI/scientific-agent-skills/blob/main/skills/dask/SKILL.md" TargetMode="External" /><Relationship Id="rIdHyperlink6" Type="http://schemas.openxmlformats.org/officeDocument/2006/relationships/hyperlink" Target="https://github.com/K-Dense-AI/scientific-agent-skills" TargetMode="External" /><Relationship Id="rIdHyperlink7" Type="http://schemas.openxmlformats.org/officeDocument/2006/relationships/hyperlink" Target="https://github.com/K-Dense-AI/scientific-agent-skills/blob/main/skills/polars/SKILL.md" TargetMode="External" /><Relationship Id="rIdHyperlink8" Type="http://schemas.openxmlformats.org/officeDocument/2006/relationships/hyperlink" Target="https://github.com/K-Dense-AI/scientific-agent-skills" TargetMode="External" /><Relationship Id="rIdHyperlink9" Type="http://schemas.openxmlformats.org/officeDocument/2006/relationships/hyperlink" Target="https://github.com/K-Dense-AI/scientific-agent-skills/blob/main/skills/vaex/SKILL.md" TargetMode="External" /><Relationship Id="rIdHyperlink10" Type="http://schemas.openxmlformats.org/officeDocument/2006/relationships/hyperlink" Target="https://github.com/K-Dense-AI/scientific-agent-skills" TargetMode="External" /><Relationship Id="rIdHyperlink11" Type="http://schemas.openxmlformats.org/officeDocument/2006/relationships/hyperlink" Target="https://github.com/K-Dense-AI/scientific-agent-skills/blob/main/skills/zarr-python/SKILL.md" TargetMode="External" /><Relationship Id="rIdHyperlink12" Type="http://schemas.openxmlformats.org/officeDocument/2006/relationships/hyperlink" Target="https://github.com/K-Dense-AI/scientific-agent-skills" TargetMode="External" /><Relationship Id="rIdHyperlink13" Type="http://schemas.openxmlformats.org/officeDocument/2006/relationships/hyperlink" Target="https://github.com/K-Dense-AI/scientific-agent-skills/blob/main/skills/matplotlib/SKILL.md" TargetMode="External" /><Relationship Id="rIdHyperlink14" Type="http://schemas.openxmlformats.org/officeDocument/2006/relationships/hyperlink" Target="https://github.com/K-Dense-AI/scientific-agent-skills" TargetMode="External" /><Relationship Id="rIdHyperlink15" Type="http://schemas.openxmlformats.org/officeDocument/2006/relationships/hyperlink" Target="https://github.com/K-Dense-AI/scientific-agent-skills/blob/main/skills/seaborn/SKILL.md" TargetMode="External" /><Relationship Id="rIdHyperlink16" Type="http://schemas.openxmlformats.org/officeDocument/2006/relationships/hyperlink" Target="https://github.com/K-Dense-AI/scientific-agent-skills" TargetMode="External" /><Relationship Id="rIdHyperlink17" Type="http://schemas.openxmlformats.org/officeDocument/2006/relationships/hyperlink" Target="https://github.com/K-Dense-AI/scientific-agent-skills/blob/main/skills/scientific-visualization/SKILL.md" TargetMode="External" /><Relationship Id="rIdHyperlink18" Type="http://schemas.openxmlformats.org/officeDocument/2006/relationships/hyperlink" Target="https://github.com/K-Dense-AI/scientific-agent-skills" TargetMode="External" /><Relationship Id="rIdHyperlink19" Type="http://schemas.openxmlformats.org/officeDocument/2006/relationships/hyperlink" Target="https://github.com/K-Dense-AI/scientific-agent-skills/blob/main/skills/networkx/SKILL.md" TargetMode="External" /><Relationship Id="rIdHyperlink20" Type="http://schemas.openxmlformats.org/officeDocument/2006/relationships/hyperlink" Target="https://github.com/K-Dense-AI/scientific-agent-skills" TargetMode="External" /><Relationship Id="rIdHyperlink21" Type="http://schemas.openxmlformats.org/officeDocument/2006/relationships/hyperlink" Target="https://github.com/K-Dense-AI/scientific-agent-skills/blob/main/skills/geopandas/SKILL.md" TargetMode="External" /><Relationship Id="rIdHyperlink22" Type="http://schemas.openxmlformats.org/officeDocument/2006/relationships/hyperlink" Target="https://github.com/K-Dense-AI/scientific-agent-skills" TargetMode="External" /><Relationship Id="rIdHyperlink23" Type="http://schemas.openxmlformats.org/officeDocument/2006/relationships/hyperlink" Target="https://github.com/K-Dense-AI/scientific-agent-skills/blob/main/skills/scikit-learn/SKILL.md" TargetMode="External" /><Relationship Id="rIdHyperlink24" Type="http://schemas.openxmlformats.org/officeDocument/2006/relationships/hyperlink" Target="https://github.com/K-Dense-AI/scientific-agent-skills" TargetMode="External" /><Relationship Id="rIdHyperlink25" Type="http://schemas.openxmlformats.org/officeDocument/2006/relationships/hyperlink" Target="https://github.com/K-Dense-AI/scientific-agent-skills/blob/main/skills/statistical-analysis/SKILL.md" TargetMode="External" /><Relationship Id="rIdHyperlink26" Type="http://schemas.openxmlformats.org/officeDocument/2006/relationships/hyperlink" Target="https://github.com/K-Dense-AI/scientific-agent-skills" TargetMode="External" /><Relationship Id="rIdHyperlink27" Type="http://schemas.openxmlformats.org/officeDocument/2006/relationships/hyperlink" Target="https://github.com/K-Dense-AI/scientific-agent-skills/blob/main/skills/statistical-power/SKILL.md" TargetMode="External" /><Relationship Id="rIdHyperlink28" Type="http://schemas.openxmlformats.org/officeDocument/2006/relationships/hyperlink" Target="https://github.com/K-Dense-AI/scientific-agent-skills" TargetMode="External" /><Relationship Id="rIdHyperlink29" Type="http://schemas.openxmlformats.org/officeDocument/2006/relationships/hyperlink" Target="https://github.com/K-Dense-AI/scientific-agent-skills/blob/main/skills/statsmodels/SKILL.md" TargetMode="External" /><Relationship Id="rIdHyperlink30" Type="http://schemas.openxmlformats.org/officeDocument/2006/relationships/hyperlink" Target="https://github.com/K-Dense-AI/scientific-agent-skills" TargetMode="External" /><Relationship Id="rIdHyperlink31" Type="http://schemas.openxmlformats.org/officeDocument/2006/relationships/hyperlink" Target="https://github.com/K-Dense-AI/scientific-agent-skills/blob/main/skills/pymc/SKILL.md" TargetMode="External" /><Relationship Id="rIdHyperlink32" Type="http://schemas.openxmlformats.org/officeDocument/2006/relationships/hyperlink" Target="https://github.com/K-Dense-AI/scientific-agent-skills" TargetMode="External" /><Relationship Id="rIdHyperlink33" Type="http://schemas.openxmlformats.org/officeDocument/2006/relationships/hyperlink" Target="https://github.com/K-Dense-AI/scientific-agent-skills/blob/main/skills/sympy/SKILL.md" TargetMode="External" /><Relationship Id="rIdHyperlink34" Type="http://schemas.openxmlformats.org/officeDocument/2006/relationships/hyperlink" Target="https://github.com/K-Dense-AI/scientific-agent-skills" TargetMode="External" /><Relationship Id="rIdHyperlink35" Type="http://schemas.openxmlformats.org/officeDocument/2006/relationships/hyperlink" Target="https://github.com/K-Dense-AI/scientific-agent-skills/blob/main/skills/uncertainty-and-units/SKILL.md" TargetMode="External" /><Relationship Id="rIdHyperlink36" Type="http://schemas.openxmlformats.org/officeDocument/2006/relationships/hyperlink" Target="https://github.com/K-Dense-AI/scientific-agent-skills" TargetMode="External" /><Relationship Id="rIdHyperlink37" Type="http://schemas.openxmlformats.org/officeDocument/2006/relationships/hyperlink" Target="https://github.com/K-Dense-AI/scientific-agent-skills/blob/main/skills/shap/SKILL.md" TargetMode="External" /><Relationship Id="rIdHyperlink38" Type="http://schemas.openxmlformats.org/officeDocument/2006/relationships/hyperlink" Target="https://github.com/K-Dense-AI/scientific-agent-skills" TargetMode="External" /><Relationship Id="rIdHyperlink39" Type="http://schemas.openxmlformats.org/officeDocument/2006/relationships/hyperlink" Target="https://github.com/K-Dense-AI/scientific-agent-skills/blob/main/skills/umap-learn/SKILL.md" TargetMode="External" /><Relationship Id="rIdHyperlink40" Type="http://schemas.openxmlformats.org/officeDocument/2006/relationships/hyperlink" Target="https://github.com/K-Dense-AI/scientific-agent-skills" TargetMode="External" /><Relationship Id="rIdHyperlink41" Type="http://schemas.openxmlformats.org/officeDocument/2006/relationships/hyperlink" Target="https://github.com/K-Dense-AI/scientific-agent-skills/blob/main/skills/timesfm-forecasting/SKILL.md" TargetMode="External" /><Relationship Id="rIdHyperlink42" Type="http://schemas.openxmlformats.org/officeDocument/2006/relationships/hyperlink" Target="https://github.com/K-Dense-AI/scientific-agent-skills" TargetMode="External" /><Relationship Id="rIdHyperlink43" Type="http://schemas.openxmlformats.org/officeDocument/2006/relationships/hyperlink" Target="https://github.com/K-Dense-AI/scientific-agent-skills/blob/main/skills/matlab/SKILL.md" TargetMode="External" /><Relationship Id="rIdHyperlink44" Type="http://schemas.openxmlformats.org/officeDocument/2006/relationships/hyperlink" Target="https://github.com/K-Dense-AI/scientific-agent-skills" TargetMode="External" /><Relationship Id="rIdHyperlink45" Type="http://schemas.openxmlformats.org/officeDocument/2006/relationships/hyperlink" Target="https://github.com/K-Dense-AI/scientific-agent-skills/blob/main/skills/simpy/SKILL.md" TargetMode="External" /><Relationship Id="rIdHyperlink46" Type="http://schemas.openxmlformats.org/officeDocument/2006/relationships/hyperlink" Target="https://github.com/K-Dense-AI/scientific-agent-skills" TargetMode="External" /><Relationship Id="rIdHyperlink47" Type="http://schemas.openxmlformats.org/officeDocument/2006/relationships/hyperlink" Target="https://github.com/K-Dense-AI/scientific-agent-skills/blob/main/skills/optimize-for-gpu/SKILL.md" TargetMode="External" /><Relationship Id="rIdHyperlink48" Type="http://schemas.openxmlformats.org/officeDocument/2006/relationships/hyperlink" Target="https://github.com/K-Dense-AI/scientific-agent-skills" TargetMode="External" /><Relationship Id="rIdHyperlink49" Type="http://schemas.openxmlformats.org/officeDocument/2006/relationships/hyperlink" Target="https://github.com/K-Dense-AI/scientific-agent-skills/blob/main/skills/pymoo/SKILL.md" TargetMode="External" /><Relationship Id="rIdHyperlink50" Type="http://schemas.openxmlformats.org/officeDocument/2006/relationships/hyperlink" Target="https://github.com/K-Dense-AI/scientific-agent-skills" TargetMode="External" /><Relationship Id="rIdHyperlink51" Type="http://schemas.openxmlformats.org/officeDocument/2006/relationships/hyperlink" Target="https://github.com/K-Dense-AI/scientific-agent-skills/blob/main/skills/pytorch-lightning/SKILL.md" TargetMode="External" /><Relationship Id="rIdHyperlink52" Type="http://schemas.openxmlformats.org/officeDocument/2006/relationships/hyperlink" Target="https://github.com/K-Dense-AI/scientific-agent-skills" TargetMode="External" /><Relationship Id="rIdHyperlink53" Type="http://schemas.openxmlformats.org/officeDocument/2006/relationships/hyperlink" Target="https://github.com/K-Dense-AI/scientific-agent-skills/blob/main/skills/transformers/SKILL.md" TargetMode="External" /><Relationship Id="rIdHyperlink54" Type="http://schemas.openxmlformats.org/officeDocument/2006/relationships/hyperlink" Target="https://github.com/K-Dense-AI/scientific-agent-skills" TargetMode="External" /><Relationship Id="rIdHyperlink55" Type="http://schemas.openxmlformats.org/officeDocument/2006/relationships/hyperlink" Target="https://github.com/obra/superpowers/blob/main/skills/systematic-debugging/SKILL.md" TargetMode="External" /><Relationship Id="rIdHyperlink56" Type="http://schemas.openxmlformats.org/officeDocument/2006/relationships/hyperlink" Target="https://github.com/obra/superpowers" TargetMode="External" /><Relationship Id="rIdHyperlink57" Type="http://schemas.openxmlformats.org/officeDocument/2006/relationships/hyperlink" Target="https://github.com/obra/superpowers/blob/main/skills/test-driven-development/SKILL.md" TargetMode="External" /><Relationship Id="rIdHyperlink58" Type="http://schemas.openxmlformats.org/officeDocument/2006/relationships/hyperlink" Target="https://github.com/obra/superpowers" TargetMode="External" /><Relationship Id="rIdHyperlink59" Type="http://schemas.openxmlformats.org/officeDocument/2006/relationships/hyperlink" Target="https://github.com/obra/superpowers/blob/main/skills/requesting-code-review/SKILL.md" TargetMode="External" /><Relationship Id="rIdHyperlink60" Type="http://schemas.openxmlformats.org/officeDocument/2006/relationships/hyperlink" Target="https://github.com/obra/superpowers" TargetMode="External" /><Relationship Id="rIdHyperlink61" Type="http://schemas.openxmlformats.org/officeDocument/2006/relationships/hyperlink" Target="https://github.com/obra/superpowers/blob/main/skills/receiving-code-review/SKILL.md" TargetMode="External" /><Relationship Id="rIdHyperlink62" Type="http://schemas.openxmlformats.org/officeDocument/2006/relationships/hyperlink" Target="https://github.com/obra/superpowers" TargetMode="External" /><Relationship Id="rIdHyperlink63" Type="http://schemas.openxmlformats.org/officeDocument/2006/relationships/hyperlink" Target="https://github.com/wshobson/agents/blob/main/plugins/business-analytics/skills/data-storytelling/SKILL.md" TargetMode="External" /><Relationship Id="rIdHyperlink64" Type="http://schemas.openxmlformats.org/officeDocument/2006/relationships/hyperlink" Target="https://github.com/wshobson/agents" TargetMode="External" /><Relationship Id="rIdHyperlink65" Type="http://schemas.openxmlformats.org/officeDocument/2006/relationships/hyperlink" Target="https://github.com/wshobson/agents/blob/main/plugins/database-design/skills/postgresql/SKILL.md" TargetMode="External" /><Relationship Id="rIdHyperlink66" Type="http://schemas.openxmlformats.org/officeDocument/2006/relationships/hyperlink" Target="https://github.com/wshobson/agents" TargetMode="External" /><Relationship Id="rIdHyperlink67" Type="http://schemas.openxmlformats.org/officeDocument/2006/relationships/hyperlink" Target="https://github.com/wshobson/agents/blob/main/plugins/data-engineering/skills/data-quality-frameworks/SKILL.md" TargetMode="External" /><Relationship Id="rIdHyperlink68" Type="http://schemas.openxmlformats.org/officeDocument/2006/relationships/hyperlink" Target="https://github.com/wshobson/agents" TargetMode="External" /><Relationship Id="rIdHyperlink69" Type="http://schemas.openxmlformats.org/officeDocument/2006/relationships/hyperlink" Target="https://github.com/wshobson/agents/blob/main/plugins/data-engineering/skills/dbt-transformation-patterns/SKILL.md" TargetMode="External" /><Relationship Id="rIdHyperlink70" Type="http://schemas.openxmlformats.org/officeDocument/2006/relationships/hyperlink" Target="https://github.com/wshobson/agents" TargetMode="External" /><Relationship Id="rIdHyperlink71" Type="http://schemas.openxmlformats.org/officeDocument/2006/relationships/hyperlink" Target="https://github.com/wshobson/agents/blob/main/plugins/data-engineering/skills/spark-optimization/SKILL.md" TargetMode="External" /><Relationship Id="rIdHyperlink72" Type="http://schemas.openxmlformats.org/officeDocument/2006/relationships/hyperlink" Target="https://github.com/wshobson/agents" TargetMode="External" /><Relationship Id="rIdHyperlink73" Type="http://schemas.openxmlformats.org/officeDocument/2006/relationships/hyperlink" Target="https://github.com/wshobson/agents/blob/main/plugins/developer-essentials/skills/sql-optimization-patterns/SKILL.md" TargetMode="External" /><Relationship Id="rIdHyperlink74" Type="http://schemas.openxmlformats.org/officeDocument/2006/relationships/hyperlink" Target="https://github.com/wshobson/agents" TargetMode="External" /><Relationship Id="rIdHyperlink75" Type="http://schemas.openxmlformats.org/officeDocument/2006/relationships/hyperlink" Target="https://github.com/wshobson/agents/blob/main/plugins/machine-learning-ops/skills/ml-pipeline-workflow/SKILL.md" TargetMode="External" /><Relationship Id="rIdHyperlink76" Type="http://schemas.openxmlformats.org/officeDocument/2006/relationships/hyperlink" Target="https://github.com/wshobson/agents" TargetMode="External" /><Relationship Id="rIdHyperlink77" Type="http://schemas.openxmlformats.org/officeDocument/2006/relationships/hyperlink" Target="https://github.com/wshobson/agents/blob/main/plugins/python-development/skills/python-testing-patterns/SKILL.md" TargetMode="External" /><Relationship Id="rIdHyperlink78" Type="http://schemas.openxmlformats.org/officeDocument/2006/relationships/hyperlink" Target="https://github.com/wshobson/agents" TargetMode="External" /><Relationship Id="rIdHyperlink79" Type="http://schemas.openxmlformats.org/officeDocument/2006/relationships/hyperlink" Target="https://github.com/wshobson/agents/blob/main/plugins/python-development/skills/python-code-style/SKILL.md" TargetMode="External" /><Relationship Id="rIdHyperlink80" Type="http://schemas.openxmlformats.org/officeDocument/2006/relationships/hyperlink" Target="https://github.com/wshobson/agents" TargetMode="External" /><Relationship Id="rIdHyperlink81" Type="http://schemas.openxmlformats.org/officeDocument/2006/relationships/hyperlink" Target="https://github.com/wshobson/agents/blob/main/plugins/python-development/skills/python-error-handling/SKILL.md" TargetMode="External" /><Relationship Id="rIdHyperlink82" Type="http://schemas.openxmlformats.org/officeDocument/2006/relationships/hyperlink" Target="https://github.com/wshobson/agents" TargetMode="External" /><Relationship Id="rIdHyperlink83" Type="http://schemas.openxmlformats.org/officeDocument/2006/relationships/hyperlink" Target="https://github.com/wshobson/agents/blob/main/plugins/python-development/skills/python-project-structure/SKILL.md" TargetMode="External" /><Relationship Id="rIdHyperlink84" Type="http://schemas.openxmlformats.org/officeDocument/2006/relationships/hyperlink" Target="https://github.com/wshobson/agents" TargetMode="External" /><Relationship Id="rIdHyperlink85" Type="http://schemas.openxmlformats.org/officeDocument/2006/relationships/hyperlink" Target="https://github.com/wshobson/agents/blob/main/plugins/python-development/skills/python-performance-optimization/SKILL.md" TargetMode="External" /><Relationship Id="rIdHyperlink86" Type="http://schemas.openxmlformats.org/officeDocument/2006/relationships/hyperlink" Target="https://github.com/wshobson/agents" TargetMode="External" /><Relationship Id="rIdHyperlink87" Type="http://schemas.openxmlformats.org/officeDocument/2006/relationships/hyperlink" Target="https://github.com/wshobson/agents/blob/main/plugins/python-development/skills/async-python-patterns/SKILL.md" TargetMode="External" /><Relationship Id="rIdHyperlink88" Type="http://schemas.openxmlformats.org/officeDocument/2006/relationships/hyperlink" Target="https://github.com/wshobson/agents" TargetMode="External" /><Relationship Id="rIdHyperlink89" Type="http://schemas.openxmlformats.org/officeDocument/2006/relationships/hyperlink" Target="https://github.com/wshobson/agents/blob/main/plugins/javascript-typescript/skills/javascript-testing-patterns/SKILL.md" TargetMode="External" /><Relationship Id="rIdHyperlink90" Type="http://schemas.openxmlformats.org/officeDocument/2006/relationships/hyperlink" Target="https://github.com/wshobson/agents" TargetMode="External" /><Relationship Id="rIdHyperlink91" Type="http://schemas.openxmlformats.org/officeDocument/2006/relationships/hyperlink" Target="https://github.com/markdown-viewer/skills/blob/main/data-analytics/SKILL.md" TargetMode="External" /><Relationship Id="rIdHyperlink92" Type="http://schemas.openxmlformats.org/officeDocument/2006/relationships/hyperlink" Target="https://github.com/markdown-viewer/skills" TargetMode="External" /><Relationship Id="rIdHyperlink93" Type="http://schemas.openxmlformats.org/officeDocument/2006/relationships/hyperlink" Target="https://github.com/markdown-viewer/skills/blob/main/vega/SKILL.md" TargetMode="External" /><Relationship Id="rIdHyperlink94" Type="http://schemas.openxmlformats.org/officeDocument/2006/relationships/hyperlink" Target="https://github.com/markdown-viewer/skills" TargetMode="External" /><Relationship Id="rIdHyperlink95" Type="http://schemas.openxmlformats.org/officeDocument/2006/relationships/hyperlink" Target="https://github.com/markdown-viewer/skills/blob/main/graphviz/SKILL.md" TargetMode="External" /><Relationship Id="rIdHyperlink96" Type="http://schemas.openxmlformats.org/officeDocument/2006/relationships/hyperlink" Target="https://github.com/markdown-viewer/skills" TargetMode="External" /><Relationship Id="rIdHyperlink97" Type="http://schemas.openxmlformats.org/officeDocument/2006/relationships/hyperlink" Target="https://github.com/leanprover/skills/blob/main/skills/lean-proof/SKILL.md" TargetMode="External" /><Relationship Id="rIdHyperlink98" Type="http://schemas.openxmlformats.org/officeDocument/2006/relationships/hyperlink" Target="https://github.com/leanprover/skills" TargetMode="External" /><Relationship Id="rIdHyperlink99" Type="http://schemas.openxmlformats.org/officeDocument/2006/relationships/hyperlink" Target="https://github.com/leanprover/skills/blob/main/skills/mathlib-review/SKILL.md" TargetMode="External" /><Relationship Id="rIdHyperlink100" Type="http://schemas.openxmlformats.org/officeDocument/2006/relationships/hyperlink" Target="https://github.com/leanprover/skills" TargetMode="External" /><Relationship Id="rIdHyperlink101" Type="http://schemas.openxmlformats.org/officeDocument/2006/relationships/hyperlink" Target="https://github.com/lyndonkl/claude/blob/main/skills/bayesian-reasoning-calibration/SKILL.md" TargetMode="External" /><Relationship Id="rIdHyperlink102" Type="http://schemas.openxmlformats.org/officeDocument/2006/relationships/hyperlink" Target="https://github.com/lyndonkl/claude" TargetMode="External" /><Relationship Id="rIdHyperlink103" Type="http://schemas.openxmlformats.org/officeDocument/2006/relationships/hyperlink" Target="https://github.com/lyndonkl/claude/blob/main/skills/causal-inference-root-cause/SKILL.md" TargetMode="External" /><Relationship Id="rIdHyperlink104" Type="http://schemas.openxmlformats.org/officeDocument/2006/relationships/hyperlink" Target="https://github.com/lyndonkl/claude" TargetMode="External" /><Relationship Id="rIdHyperlink105" Type="http://schemas.openxmlformats.org/officeDocument/2006/relationships/hyperlink" Target="https://github.com/lyndonkl/claude/blob/main/skills/design-of-experiments/SKILL.md" TargetMode="External" /><Relationship Id="rIdHyperlink106" Type="http://schemas.openxmlformats.org/officeDocument/2006/relationships/hyperlink" Target="https://github.com/lyndonkl/claude" TargetMode="External" /><Relationship Id="rIdHyperlink107" Type="http://schemas.openxmlformats.org/officeDocument/2006/relationships/hyperlink" Target="https://github.com/lyndonkl/claude/blob/main/skills/visualization-choice-reporting/SKILL.md" TargetMode="External" /><Relationship Id="rIdHyperlink108" Type="http://schemas.openxmlformats.org/officeDocument/2006/relationships/hyperlink" Target="https://github.com/lyndonkl/claude" TargetMode="External" /><Relationship Id="rIdHyperlink109" Type="http://schemas.openxmlformats.org/officeDocument/2006/relationships/hyperlink" Target="https://github.com/lyndonkl/claude/blob/main/skills/d3-visualization/SKILL.md" TargetMode="External" /><Relationship Id="rIdHyperlink110" Type="http://schemas.openxmlformats.org/officeDocument/2006/relationships/hyperlink" Target="https://github.com/lyndonkl/claude" TargetMode="External" /></Relationships>
</file>

<file path=xl/worksheets/_rels/sheet4.xml.rels>&#65279;<?xml version="1.0" encoding="utf-8"?><Relationships xmlns="http://schemas.openxmlformats.org/package/2006/relationships"><Relationship Type="http://schemas.openxmlformats.org/officeDocument/2006/relationships/table" Target="/xl/tables/table2.xml" Id="R9991fadafa90478b" /><Relationship Id="rIdHyperlink1" Type="http://schemas.openxmlformats.org/officeDocument/2006/relationships/hyperlink" Target="https://github.com/K-Dense-AI/scientific-agent-skills" TargetMode="External" /><Relationship Id="rIdHyperlink2" Type="http://schemas.openxmlformats.org/officeDocument/2006/relationships/hyperlink" Target="https://github.com/leanprover/skills" TargetMode="External" /><Relationship Id="rIdHyperlink3" Type="http://schemas.openxmlformats.org/officeDocument/2006/relationships/hyperlink" Target="https://github.com/lyndonkl/claude" TargetMode="External" /><Relationship Id="rIdHyperlink4" Type="http://schemas.openxmlformats.org/officeDocument/2006/relationships/hyperlink" Target="https://github.com/markdown-viewer/skills" TargetMode="External" /><Relationship Id="rIdHyperlink5" Type="http://schemas.openxmlformats.org/officeDocument/2006/relationships/hyperlink" Target="https://github.com/obra/superpowers" TargetMode="External" /><Relationship Id="rIdHyperlink6" Type="http://schemas.openxmlformats.org/officeDocument/2006/relationships/hyperlink" Target="https://github.com/wshobson/agents" TargetMode="External" /></Relationships>
</file>

<file path=xl/worksheets/sheet1.xml><?xml version="1.0" encoding="utf-8"?>
<x:worksheet xmlns:x="http://schemas.openxmlformats.org/spreadsheetml/2006/main">
  <x:sheetViews>
    <x:sheetView showGridLines="0" workbookViewId="0">
      <x:pane ySplit="2" topLeftCell="A3" activePane="bottomLeft" state="frozen"/>
    </x:sheetView>
  </x:sheetViews>
  <x:sheetFormatPr defaultRowHeight="15"/>
  <x:cols>
    <x:col min="1" max="1" width="20" hidden="0" customWidth="1"/>
    <x:col min="2" max="2" width="88" hidden="0" customWidth="1"/>
    <x:col min="3" max="3" width="34" hidden="0" customWidth="1"/>
    <x:col min="4" max="4" width="34" hidden="0" customWidth="1"/>
  </x:cols>
  <x:sheetData>
    <x:row r="1" ht="40" customHeight="1">
      <x:c r="A1" s="3" t="str">
        <x:v>编程、数学、数据分析和可视化｜大分类总览</x:v>
      </x:c>
      <x:c r="B1" s="3"/>
      <x:c r="C1" s="3"/>
      <x:c r="D1" s="3"/>
    </x:row>
    <x:row r="2" ht="28" customHeight="1">
      <x:c r="A2" s="7" t="str">
        <x:v>通俗细分版｜数据日期 2026-08-07｜收录 55 项｜本次未安装、未运行</x:v>
      </x:c>
      <x:c r="B2" s="7"/>
      <x:c r="C2" s="7"/>
      <x:c r="D2" s="7"/>
    </x:row>
    <x:row r="4" ht="28" customHeight="1">
      <x:c r="A4" s="13" t="str">
        <x:v>阅读项目</x:v>
      </x:c>
      <x:c r="B4" s="13" t="str">
        <x:v>通俗说明</x:v>
      </x:c>
    </x:row>
    <x:row r="5" ht="52" customHeight="1">
      <x:c r="A5" s="16" t="str">
        <x:v>什么是 Skill</x:v>
      </x:c>
      <x:c r="B5" s="19" t="str">
        <x:v>Skill 是一套告诉 AI 怎样完成某类任务的说明、步骤或配套文件；本表不把候选 Skill 写成已部署工具。</x:v>
      </x:c>
    </x:row>
    <x:row r="6" ht="52" customHeight="1">
      <x:c r="A6" s="16" t="str">
        <x:v>先看什么</x:v>
      </x:c>
      <x:c r="B6" s="19" t="str">
        <x:v>先看“主要用途、适用人员、典型场景”，判断是否与自己的工作相符；再看准备事项、注意事项和接入建议。</x:v>
      </x:c>
    </x:row>
    <x:row r="7" ht="52" customHeight="1">
      <x:c r="A7" s="16" t="str">
        <x:v>接入难度</x:v>
      </x:c>
      <x:c r="B7" s="19" t="str">
        <x:v>A 表示调整少；B 表示少量调整；C 表示较多调整；D 表示主要用于参考方法或模板。</x:v>
      </x:c>
    </x:row>
    <x:row r="8" ht="52" customHeight="1">
      <x:c r="A8" s="16" t="str">
        <x:v>核验边界</x:v>
      </x:c>
      <x:c r="B8" s="19" t="str">
        <x:v>“说明已核验”或“包内容已核验”只代表已阅读公开资料或包内文件；本次未安装、未运行，不能据此判断实际效果。</x:v>
      </x:c>
    </x:row>
    <x:row r="9" ht="52" customHeight="1">
      <x:c r="A9" s="16" t="str">
        <x:v>怎样筛选</x:v>
      </x:c>
      <x:c r="B9" s="19" t="str">
        <x:v>打开“AI技能清单”表，使用表头筛选按钮；可先按推荐程度和接入难度缩小范围，再按小分类或适用人员查看。</x:v>
      </x:c>
    </x:row>
    <x:row r="10" ht="52" customHeight="1">
      <x:c r="A10" s="16" t="str">
        <x:v>怎样追溯</x:v>
      </x:c>
      <x:c r="B10" s="19" t="str">
        <x:v>用户字段位于左侧，技术追溯字段位于右侧；Skill 地址和仓库地址保留原始链接，许可证等事实保持原样。</x:v>
      </x:c>
    </x:row>
    <x:row r="12">
      <x:c r="A12" s="20" t="str">
        <x:v>接入难度速查</x:v>
      </x:c>
      <x:c r="B12" s="20"/>
      <x:c r="C12" s="20"/>
      <x:c r="D12" s="20"/>
    </x:row>
    <x:row r="13" ht="28" customHeight="1">
      <x:c r="A13" s="13" t="str">
        <x:v>等级</x:v>
      </x:c>
      <x:c r="B13" s="13" t="str">
        <x:v>读法</x:v>
      </x:c>
      <x:c r="C13" s="13" t="str">
        <x:v>通常意味着</x:v>
      </x:c>
      <x:c r="D13" s="13" t="str">
        <x:v>建议</x:v>
      </x:c>
    </x:row>
    <x:row r="14" ht="44" customHeight="1">
      <x:c r="A14" s="24" t="str">
        <x:v>A</x:v>
      </x:c>
      <x:c r="B14" s="23" t="str">
        <x:v>调整少</x:v>
      </x:c>
      <x:c r="C14" s="23" t="str">
        <x:v>基本结构可直接使用，仍需按本校制度和工具设置复核</x:v>
      </x:c>
      <x:c r="D14" s="23" t="str">
        <x:v>优先小范围试用</x:v>
      </x:c>
    </x:row>
    <x:row r="15" ht="44" customHeight="1">
      <x:c r="A15" s="24" t="str">
        <x:v>B</x:v>
      </x:c>
      <x:c r="B15" s="23" t="str">
        <x:v>少量调整</x:v>
      </x:c>
      <x:c r="C15" s="23" t="str">
        <x:v>常需更换工具、路径、账号或权限设置</x:v>
      </x:c>
      <x:c r="D15" s="23" t="str">
        <x:v>列入适配队列</x:v>
      </x:c>
    </x:row>
    <x:row r="16" ht="44" customHeight="1">
      <x:c r="A16" s="24" t="str">
        <x:v>C</x:v>
      </x:c>
      <x:c r="B16" s="23" t="str">
        <x:v>较多调整</x:v>
      </x:c>
      <x:c r="C16" s="23" t="str">
        <x:v>常需改写流程或增加配套服务</x:v>
      </x:c>
      <x:c r="D16" s="23" t="str">
        <x:v>先做场景验证</x:v>
      </x:c>
    </x:row>
    <x:row r="17" ht="44" customHeight="1">
      <x:c r="A17" s="24" t="str">
        <x:v>D</x:v>
      </x:c>
      <x:c r="B17" s="23" t="str">
        <x:v>仅参考</x:v>
      </x:c>
      <x:c r="C17" s="23" t="str">
        <x:v>更适合吸收方法或模板，不建议原样接入</x:v>
      </x:c>
      <x:c r="D17" s="23" t="str">
        <x:v>按需摘取方法</x:v>
      </x:c>
    </x:row>
  </x:sheetData>
  <x:mergeCells>
    <x:mergeCell ref="A1:D1"/>
    <x:mergeCell ref="A2:D2"/>
    <x:mergeCell ref="A12:D12"/>
  </x:mergeCells>
  <x:pageMargins left="0.7" right="0.7" top="0.75" bottom="0.75" header="0.3" footer="0.3"/>
</x:worksheet>
</file>

<file path=xl/worksheets/sheet2.xml><?xml version="1.0" encoding="utf-8"?>
<x:worksheet xmlns:x="http://schemas.openxmlformats.org/spreadsheetml/2006/main" xmlns:r="http://schemas.openxmlformats.org/officeDocument/2006/relationships">
  <x:sheetViews>
    <x:sheetView showGridLines="0" workbookViewId="0">
      <x:pane xSplit="4" ySplit="4" topLeftCell="E5" activePane="bottomRight" state="frozen"/>
    </x:sheetView>
  </x:sheetViews>
  <x:sheetFormatPr defaultRowHeight="15"/>
  <x:cols>
    <x:col min="1" max="1" width="7" hidden="0" customWidth="1"/>
    <x:col min="2" max="2" width="24" hidden="0" customWidth="1"/>
    <x:col min="3" max="3" width="24" hidden="0" customWidth="1"/>
    <x:col min="4" max="4" width="40" hidden="0" customWidth="1"/>
    <x:col min="5" max="5" width="28" hidden="0" customWidth="1"/>
    <x:col min="6" max="6" width="40" hidden="0" customWidth="1"/>
    <x:col min="7" max="7" width="40" hidden="0" customWidth="1"/>
    <x:col min="8" max="8" width="42" hidden="0" customWidth="1"/>
    <x:col min="9" max="9" width="13" hidden="0" customWidth="1"/>
    <x:col min="10" max="10" width="18" hidden="0" customWidth="1"/>
    <x:col min="11" max="11" width="44" hidden="0" customWidth="1"/>
    <x:col min="12" max="12" width="46" hidden="0" customWidth="1"/>
    <x:col min="13" max="13" width="26" hidden="0" customWidth="1"/>
    <x:col min="14" max="14" width="18" hidden="0" customWidth="1"/>
    <x:col min="15" max="15" width="34" hidden="0" customWidth="1"/>
    <x:col min="16" max="16" width="28" hidden="0" customWidth="1"/>
    <x:col min="17" max="17" width="28" hidden="0" customWidth="1"/>
    <x:col min="18" max="18" width="18" hidden="0" customWidth="1"/>
    <x:col min="19" max="19" width="16" hidden="0" customWidth="1"/>
    <x:col min="20" max="20" width="16" hidden="0" customWidth="1"/>
    <x:col min="21" max="21" width="58" hidden="0" customWidth="1"/>
    <x:col min="22" max="22" width="58" hidden="0" customWidth="1"/>
  </x:cols>
  <x:sheetData>
    <x:row r="1" ht="40" customHeight="1">
      <x:c r="A1" s="3" t="str">
        <x:v>编程、数学、数据分析和可视化｜大分类总览</x:v>
      </x:c>
      <x:c r="B1" s="3"/>
      <x:c r="C1" s="3"/>
      <x:c r="D1" s="3"/>
      <x:c r="E1" s="3"/>
      <x:c r="F1" s="3"/>
      <x:c r="G1" s="3"/>
      <x:c r="H1" s="3"/>
      <x:c r="I1" s="3"/>
      <x:c r="J1" s="3"/>
      <x:c r="K1" s="3"/>
      <x:c r="L1" s="3"/>
      <x:c r="M1" s="3"/>
      <x:c r="N1" s="3"/>
      <x:c r="O1" s="3"/>
      <x:c r="P1" s="3"/>
      <x:c r="Q1" s="3"/>
      <x:c r="R1" s="3"/>
      <x:c r="S1" s="3"/>
      <x:c r="T1" s="3"/>
      <x:c r="U1" s="3"/>
      <x:c r="V1" s="3"/>
    </x:row>
    <x:row r="2" ht="28" customHeight="1">
      <x:c r="A2" s="7" t="str">
        <x:v>用户字段在前，技术追溯字段在后｜共 55 项｜地址可点击｜本次未安装、未运行</x:v>
      </x:c>
      <x:c r="B2" s="7"/>
      <x:c r="C2" s="7"/>
      <x:c r="D2" s="7"/>
      <x:c r="E2" s="7"/>
      <x:c r="F2" s="7"/>
      <x:c r="G2" s="7"/>
      <x:c r="H2" s="7"/>
      <x:c r="I2" s="7"/>
      <x:c r="J2" s="7"/>
      <x:c r="K2" s="7"/>
      <x:c r="L2" s="7"/>
      <x:c r="M2" s="7"/>
      <x:c r="N2" s="7"/>
      <x:c r="O2" s="7"/>
      <x:c r="P2" s="7"/>
      <x:c r="Q2" s="7"/>
      <x:c r="R2" s="7"/>
      <x:c r="S2" s="7"/>
      <x:c r="T2" s="7"/>
      <x:c r="U2" s="7"/>
      <x:c r="V2" s="7"/>
    </x:row>
    <x:row r="3">
      <x:c r="A3" s="27" t="str">
        <x:v>面向使用者的信息</x:v>
      </x:c>
      <x:c r="B3" s="27"/>
      <x:c r="C3" s="27"/>
      <x:c r="D3" s="27"/>
      <x:c r="E3" s="27"/>
      <x:c r="F3" s="27"/>
      <x:c r="G3" s="27"/>
      <x:c r="H3" s="27"/>
      <x:c r="I3" s="27"/>
      <x:c r="J3" s="27"/>
      <x:c r="K3" s="27"/>
      <x:c r="L3" s="27"/>
      <x:c r="M3" s="30" t="str">
        <x:v>技术追溯信息</x:v>
      </x:c>
      <x:c r="N3" s="30"/>
      <x:c r="O3" s="30"/>
      <x:c r="P3" s="30"/>
      <x:c r="Q3" s="30"/>
      <x:c r="R3" s="30"/>
      <x:c r="S3" s="30"/>
      <x:c r="T3" s="30"/>
      <x:c r="U3" s="30"/>
      <x:c r="V3" s="30"/>
    </x:row>
    <x:row r="4" ht="38" customHeight="1">
      <x:c r="A4" s="13" t="str">
        <x:v>序号</x:v>
      </x:c>
      <x:c r="B4" s="13" t="str">
        <x:v>小分类</x:v>
      </x:c>
      <x:c r="C4" s="13" t="str">
        <x:v>中文名称</x:v>
      </x:c>
      <x:c r="D4" s="13" t="str">
        <x:v>主要用途</x:v>
      </x:c>
      <x:c r="E4" s="13" t="str">
        <x:v>适用人员</x:v>
      </x:c>
      <x:c r="F4" s="13" t="str">
        <x:v>典型场景</x:v>
      </x:c>
      <x:c r="G4" s="13" t="str">
        <x:v>使用前准备</x:v>
      </x:c>
      <x:c r="H4" s="13" t="str">
        <x:v>注意事项</x:v>
      </x:c>
      <x:c r="I4" s="13" t="str">
        <x:v>推荐程度</x:v>
      </x:c>
      <x:c r="J4" s="13" t="str">
        <x:v>接入难度</x:v>
      </x:c>
      <x:c r="K4" s="13" t="str">
        <x:v>接入建议</x:v>
      </x:c>
      <x:c r="L4" s="13" t="str">
        <x:v>本次核验</x:v>
      </x:c>
      <x:c r="M4" s="13" t="str">
        <x:v>英文名称</x:v>
      </x:c>
      <x:c r="N4" s="13" t="str">
        <x:v>内部编号</x:v>
      </x:c>
      <x:c r="O4" s="13" t="str">
        <x:v>功能标签</x:v>
      </x:c>
      <x:c r="P4" s="13" t="str">
        <x:v>原生生态</x:v>
      </x:c>
      <x:c r="Q4" s="13" t="str">
        <x:v>来源形态</x:v>
      </x:c>
      <x:c r="R4" s="13" t="str">
        <x:v>许可证</x:v>
      </x:c>
      <x:c r="S4" s="13" t="str">
        <x:v>GitHub 关注数</x:v>
      </x:c>
      <x:c r="T4" s="13" t="str">
        <x:v>最近更新</x:v>
      </x:c>
      <x:c r="U4" s="13" t="str">
        <x:v>Skill 地址</x:v>
      </x:c>
      <x:c r="V4" s="13" t="str">
        <x:v>仓库地址</x:v>
      </x:c>
    </x:row>
    <x:row r="5" ht="92" customHeight="1">
      <x:c r="A5" s="37" t="n">
        <x:v>1</x:v>
      </x:c>
      <x:c r="B5" s="38" t="str">
        <x:v>05-01 计算设备与资源规划</x:v>
      </x:c>
      <x:c r="C5" s="38" t="str">
        <x:v>计算资源侦测与策略建议</x:v>
      </x:c>
      <x:c r="D5" s="35" t="str">
        <x:v>在计算密集任务前仅查看、不修改盘点 CPU（执行通用计算任务的处理器）、GPU（适合大量并行计算的图形处理器）、内存和磁盘，并据此建议并行、分块或外存策略。</x:v>
      </x:c>
      <x:c r="E5" s="35" t="str">
        <x:v>适合学生、教师、科研人员、数据与技术支持人员使用。</x:v>
      </x:c>
      <x:c r="F5" s="35" t="str">
        <x:v>在大型计算任务开跑前，需要判断现有算力、内存和磁盘是否够用时使用。</x:v>
      </x:c>
      <x:c r="G5" s="35" t="str">
        <x:v>需要允许工具查看系统信息，并准备任务规模、预计时长和可使用的设备范围。</x:v>
      </x:c>
      <x:c r="H5" s="35" t="str">
        <x:v>需要注意：资源快照只代表检查当时，不能保证任务一定完成；不得采集无关的敏感系统信息。</x:v>
      </x:c>
      <x:c r="I5" s="37" t="str">
        <x:v>高</x:v>
      </x:c>
      <x:c r="J5" s="37" t="str">
        <x:v>A｜调整少</x:v>
      </x:c>
      <x:c r="K5" s="35" t="str">
        <x:v>先以只查看、不修改的方式盘点，把处理器、显卡、内存和磁盘清单交给任务规划环节，不自动修改系统。</x:v>
      </x:c>
      <x:c r="L5" s="35" t="str">
        <x:v>包内容已核验：已核对用途说明和包内文件；本次未安装、未运行，不能据此判断实际效果。</x:v>
      </x:c>
      <x:c r="M5" s="39" t="str">
        <x:v>get-available-resources</x:v>
      </x:c>
      <x:c r="N5" s="39" t="str">
        <x:v>GH-05-0001</x:v>
      </x:c>
      <x:c r="O5" s="36" t="str">
        <x:v>CPU、GPU、内存、磁盘、计算规划</x:v>
      </x:c>
      <x:c r="P5" s="36" t="str">
        <x:v>Agent Skills（兼容 Codex、Claude Code、Cursor 等）</x:v>
      </x:c>
      <x:c r="Q5" s="36" t="str">
        <x:v>社区 skill、GitHub 开源仓库</x:v>
      </x:c>
      <x:c r="R5" s="39" t="str">
        <x:v>MIT</x:v>
      </x:c>
      <x:c r="S5" s="41" t="n">
        <x:v>32822</x:v>
      </x:c>
      <x:c r="T5" s="42" t="n">
        <x:v>46237</x:v>
      </x:c>
      <x:c r="U5" s="36" t="str">
        <x:v>https://github.com/K-Dense-AI/scientific-agent-skills/blob/main/skills/get-available-resources/SKILL.md</x:v>
      </x:c>
      <x:c r="V5" s="36" t="str">
        <x:v>https://github.com/K-Dense-AI/scientific-agent-skills</x:v>
      </x:c>
    </x:row>
    <x:row r="6" ht="92" customHeight="1">
      <x:c r="A6" s="37" t="n">
        <x:v>2</x:v>
      </x:c>
      <x:c r="B6" s="38" t="str">
        <x:v>05-02 数据检查、清理与质量控制</x:v>
      </x:c>
      <x:c r="C6" s="38" t="str">
        <x:v>可复现探索性数据分析</x:v>
      </x:c>
      <x:c r="D6" s="35" t="str">
        <x:v>以授权范围、数据质量、分布、关系、异常和可复现输出为主线开展探索性分析。</x:v>
      </x:c>
      <x:c r="E6" s="35" t="str">
        <x:v>适合学生、教师、科研人员、数据与技术支持人员使用。</x:v>
      </x:c>
      <x:c r="F6" s="35" t="str">
        <x:v>收到一份新数据、尚未决定清理和分析方法，需要先了解质量与分布时使用。</x:v>
      </x:c>
      <x:c r="G6" s="35" t="str">
        <x:v>需要准备已获授权的数据副本、字段说明、研究问题和允许输出的范围。</x:v>
      </x:c>
      <x:c r="H6" s="35" t="str">
        <x:v>需要注意：探索中发现的关系不等于因果；缺失值和异常值必须结合业务含义判断。</x:v>
      </x:c>
      <x:c r="I6" s="37" t="str">
        <x:v>高</x:v>
      </x:c>
      <x:c r="J6" s="37" t="str">
        <x:v>A｜调整少</x:v>
      </x:c>
      <x:c r="K6" s="35" t="str">
        <x:v>先对小样本做只查看、不修改的分析，保存每一步数据检查与图表，再由负责人批准清理规则。</x:v>
      </x:c>
      <x:c r="L6" s="35" t="str">
        <x:v>包内容已核验：已核对用途说明和包内文件；本次未安装、未运行，不能据此判断实际效果。</x:v>
      </x:c>
      <x:c r="M6" s="39" t="str">
        <x:v>exploratory-data-analysis</x:v>
      </x:c>
      <x:c r="N6" s="39" t="str">
        <x:v>GH-05-0002</x:v>
      </x:c>
      <x:c r="O6" s="36" t="str">
        <x:v>EDA、数据质量、分布、异常、报告</x:v>
      </x:c>
      <x:c r="P6" s="36" t="str">
        <x:v>Agent Skills（兼容 Codex、Claude Code、Cursor 等）</x:v>
      </x:c>
      <x:c r="Q6" s="36" t="str">
        <x:v>社区 skill、GitHub 开源仓库</x:v>
      </x:c>
      <x:c r="R6" s="39" t="str">
        <x:v>MIT</x:v>
      </x:c>
      <x:c r="S6" s="41" t="n">
        <x:v>32822</x:v>
      </x:c>
      <x:c r="T6" s="42" t="n">
        <x:v>46237</x:v>
      </x:c>
      <x:c r="U6" s="36" t="str">
        <x:v>https://github.com/K-Dense-AI/scientific-agent-skills/blob/main/skills/exploratory-data-analysis/SKILL.md</x:v>
      </x:c>
      <x:c r="V6" s="36" t="str">
        <x:v>https://github.com/K-Dense-AI/scientific-agent-skills</x:v>
      </x:c>
    </x:row>
    <x:row r="7" ht="92" customHeight="1">
      <x:c r="A7" s="37" t="n">
        <x:v>3</x:v>
      </x:c>
      <x:c r="B7" s="38" t="str">
        <x:v>05-05 并行计算与性能优化</x:v>
      </x:c>
      <x:c r="C7" s="38" t="str">
        <x:v>Dask 并行与大数据处理</x:v>
      </x:c>
      <x:c r="D7" s="35" t="str">
        <x:v>在一台电脑内存不足或需要加快处理时，用 Dask（把大型计算任务拆开处理的软件）把大型数据任务拆开并同时计算。</x:v>
      </x:c>
      <x:c r="E7" s="35" t="str">
        <x:v>适合学生、教师、科研人员、数据与技术支持人员使用。</x:v>
      </x:c>
      <x:c r="F7" s="35" t="str">
        <x:v>当表格或数组超过一台电脑内存，或计算可拆成多份同时处理时使用。</x:v>
      </x:c>
      <x:c r="G7" s="35" t="str">
        <x:v>需要准备 Dask、Python（常用于数据处理和自动化的编程语言）、输入数据规模说明，以及可用处理器或计算集群信息。</x:v>
      </x:c>
      <x:c r="H7" s="35" t="str">
        <x:v>需要注意：小任务可能因拆分和协调反而变慢；数据重排成本必须用真实任务测量。</x:v>
      </x:c>
      <x:c r="I7" s="37" t="str">
        <x:v>中</x:v>
      </x:c>
      <x:c r="J7" s="37" t="str">
        <x:v>A｜调整少</x:v>
      </x:c>
      <x:c r="K7" s="35" t="str">
        <x:v>先在一台电脑上验证分块结果，再按实际规模连接集群，并固定软件版本和分块设置。</x:v>
      </x:c>
      <x:c r="L7" s="35" t="str">
        <x:v>包内容已核验：已核对用途说明和包内文件；本次未安装、未运行，不能据此判断实际效果。</x:v>
      </x:c>
      <x:c r="M7" s="39" t="str">
        <x:v>dask</x:v>
      </x:c>
      <x:c r="N7" s="39" t="str">
        <x:v>GH-05-0003</x:v>
      </x:c>
      <x:c r="O7" s="36" t="str">
        <x:v>Dask、并行计算、分布式、DataFrame</x:v>
      </x:c>
      <x:c r="P7" s="36" t="str">
        <x:v>Agent Skills（兼容 Codex、Claude Code、Cursor 等）</x:v>
      </x:c>
      <x:c r="Q7" s="36" t="str">
        <x:v>社区 skill、GitHub 开源仓库</x:v>
      </x:c>
      <x:c r="R7" s="39" t="str">
        <x:v>MIT</x:v>
      </x:c>
      <x:c r="S7" s="41" t="n">
        <x:v>32822</x:v>
      </x:c>
      <x:c r="T7" s="42" t="n">
        <x:v>46237</x:v>
      </x:c>
      <x:c r="U7" s="36" t="str">
        <x:v>https://github.com/K-Dense-AI/scientific-agent-skills/blob/main/skills/dask/SKILL.md</x:v>
      </x:c>
      <x:c r="V7" s="36" t="str">
        <x:v>https://github.com/K-Dense-AI/scientific-agent-skills</x:v>
      </x:c>
    </x:row>
    <x:row r="8" ht="92" customHeight="1">
      <x:c r="A8" s="37" t="n">
        <x:v>4</x:v>
      </x:c>
      <x:c r="B8" s="38" t="str">
        <x:v>05-03 表格与大型数据处理</x:v>
      </x:c>
      <x:c r="C8" s="38" t="str">
        <x:v>Polars 高性能表格处理</x:v>
      </x:c>
      <x:c r="D8" s="35" t="str">
        <x:v>使用 Polars（快速处理表格数据的软件）的表达式、惰性执行（先记录步骤，需要结果时再计算）和列式计算（按数据列处理以提高效率的方法）构建快速、可审计的数据转换流程。</x:v>
      </x:c>
      <x:c r="E8" s="35" t="str">
        <x:v>适合学生、教师、科研人员、数据与技术支持人员使用。</x:v>
      </x:c>
      <x:c r="F8" s="35" t="str">
        <x:v>需要加快多列表格筛选、连接和转换，并希望保留可复查步骤时使用。</x:v>
      </x:c>
      <x:c r="G8" s="35" t="str">
        <x:v>需要准备 Polars、字段类型说明、输入样表和期望输出样表。</x:v>
      </x:c>
      <x:c r="H8" s="35" t="str">
        <x:v>需要注意：延后计算和字段类型规则可能改变执行顺序，结果必须与原处理流程逐列比较。</x:v>
      </x:c>
      <x:c r="I8" s="37" t="str">
        <x:v>中</x:v>
      </x:c>
      <x:c r="J8" s="37" t="str">
        <x:v>A｜调整少</x:v>
      </x:c>
      <x:c r="K8" s="35" t="str">
        <x:v>先替换一段最慢的表格流程，同时保留原结果作为对照，再逐步扩大使用范围。</x:v>
      </x:c>
      <x:c r="L8" s="35" t="str">
        <x:v>包内容已核验：已核对用途说明和包内文件；本次未安装、未运行，不能据此判断实际效果。</x:v>
      </x:c>
      <x:c r="M8" s="39" t="str">
        <x:v>polars</x:v>
      </x:c>
      <x:c r="N8" s="39" t="str">
        <x:v>GH-05-0004</x:v>
      </x:c>
      <x:c r="O8" s="36" t="str">
        <x:v>Polars、DataFrame、惰性执行、ETL</x:v>
      </x:c>
      <x:c r="P8" s="36" t="str">
        <x:v>Agent Skills（兼容 Codex、Claude Code、Cursor 等）</x:v>
      </x:c>
      <x:c r="Q8" s="36" t="str">
        <x:v>社区 skill、GitHub 开源仓库</x:v>
      </x:c>
      <x:c r="R8" s="39" t="str">
        <x:v>MIT</x:v>
      </x:c>
      <x:c r="S8" s="41" t="n">
        <x:v>32822</x:v>
      </x:c>
      <x:c r="T8" s="42" t="n">
        <x:v>46237</x:v>
      </x:c>
      <x:c r="U8" s="36" t="str">
        <x:v>https://github.com/K-Dense-AI/scientific-agent-skills/blob/main/skills/polars/SKILL.md</x:v>
      </x:c>
      <x:c r="V8" s="36" t="str">
        <x:v>https://github.com/K-Dense-AI/scientific-agent-skills</x:v>
      </x:c>
    </x:row>
    <x:row r="9" ht="92" customHeight="1">
      <x:c r="A9" s="37" t="n">
        <x:v>5</x:v>
      </x:c>
      <x:c r="B9" s="38" t="str">
        <x:v>05-03 表格与大型数据处理</x:v>
      </x:c>
      <x:c r="C9" s="38" t="str">
        <x:v>Vaex 超大表格分析</x:v>
      </x:c>
      <x:c r="D9" s="35" t="str">
        <x:v>借助内存对应和延迟计算交互分析超大表格数据，减少内存占用。</x:v>
      </x:c>
      <x:c r="E9" s="35" t="str">
        <x:v>适合学生、教师、科研人员、数据与技术支持人员使用。</x:v>
      </x:c>
      <x:c r="F9" s="35" t="str">
        <x:v>需要在内存有限的电脑上浏览、筛选或汇总超大表格时使用。</x:v>
      </x:c>
      <x:c r="G9" s="35" t="str">
        <x:v>需要准备 Vaex（减少内存占用来分析超大表格的软件）、受支持的数据文件、字段说明和要计算的统计指标。</x:v>
      </x:c>
      <x:c r="H9" s="35" t="str">
        <x:v>需要注意：并非所有文件格式和表格操作都受支持；延后计算的速度要用实际文件检验。</x:v>
      </x:c>
      <x:c r="I9" s="37" t="str">
        <x:v>中</x:v>
      </x:c>
      <x:c r="J9" s="37" t="str">
        <x:v>A｜调整少</x:v>
      </x:c>
      <x:c r="K9" s="35" t="str">
        <x:v>先以不改原文件的方式打开样本，核对筛选和统计结果，再建立固定的导出目录。</x:v>
      </x:c>
      <x:c r="L9" s="35" t="str">
        <x:v>包内容已核验：已核对用途说明和包内文件；本次未安装、未运行，不能据此判断实际效果。</x:v>
      </x:c>
      <x:c r="M9" s="39" t="str">
        <x:v>vaex</x:v>
      </x:c>
      <x:c r="N9" s="39" t="str">
        <x:v>GH-05-0005</x:v>
      </x:c>
      <x:c r="O9" s="36" t="str">
        <x:v>Vaex、内存映射、大数据、可视化</x:v>
      </x:c>
      <x:c r="P9" s="36" t="str">
        <x:v>Agent Skills（兼容 Codex、Claude Code、Cursor 等）</x:v>
      </x:c>
      <x:c r="Q9" s="36" t="str">
        <x:v>社区 skill、GitHub 开源仓库</x:v>
      </x:c>
      <x:c r="R9" s="39" t="str">
        <x:v>MIT</x:v>
      </x:c>
      <x:c r="S9" s="41" t="n">
        <x:v>32822</x:v>
      </x:c>
      <x:c r="T9" s="42" t="n">
        <x:v>46237</x:v>
      </x:c>
      <x:c r="U9" s="36" t="str">
        <x:v>https://github.com/K-Dense-AI/scientific-agent-skills/blob/main/skills/vaex/SKILL.md</x:v>
      </x:c>
      <x:c r="V9" s="36" t="str">
        <x:v>https://github.com/K-Dense-AI/scientific-agent-skills</x:v>
      </x:c>
    </x:row>
    <x:row r="10" ht="92" customHeight="1">
      <x:c r="A10" s="37" t="n">
        <x:v>6</x:v>
      </x:c>
      <x:c r="B10" s="38" t="str">
        <x:v>05-04 数据存储、数据库与查询优化</x:v>
      </x:c>
      <x:c r="C10" s="38" t="str">
        <x:v>Zarr 分块数组存储</x:v>
      </x:c>
      <x:c r="D10" s="35" t="str">
        <x:v>用 Zarr（把大型多维数据分块保存的工具）创建、读取和管理多维数据，可保存在本机或网络存储中。</x:v>
      </x:c>
      <x:c r="E10" s="35" t="str">
        <x:v>适合学生、教师、科研人员、数据与技术支持人员使用。</x:v>
      </x:c>
      <x:c r="F10" s="35" t="str">
        <x:v>需要把大型多维数组分块保存，并在本机或网络存储中按需读取时使用。</x:v>
      </x:c>
      <x:c r="G10" s="35" t="str">
        <x:v>需要准备 Zarr、数组形状和数据类型、分块方案及目标存储位置。</x:v>
      </x:c>
      <x:c r="H10" s="35" t="str">
        <x:v>需要注意：分块和压缩设置不合适会拖慢读写；多人写入同一数据时要防止冲突。</x:v>
      </x:c>
      <x:c r="I10" s="37" t="str">
        <x:v>中</x:v>
      </x:c>
      <x:c r="J10" s="37" t="str">
        <x:v>A｜调整少</x:v>
      </x:c>
      <x:c r="K10" s="35" t="str">
        <x:v>先用一份小数组比较分块大小和压缩效果，确认读取软件兼容后再迁移正式数据。</x:v>
      </x:c>
      <x:c r="L10" s="35" t="str">
        <x:v>包内容已核验：已核对用途说明和包内文件；本次未安装、未运行，不能据此判断实际效果。</x:v>
      </x:c>
      <x:c r="M10" s="39" t="str">
        <x:v>zarr-python</x:v>
      </x:c>
      <x:c r="N10" s="39" t="str">
        <x:v>GH-05-0006</x:v>
      </x:c>
      <x:c r="O10" s="36" t="str">
        <x:v>Zarr、分块、压缩、云存储、数组</x:v>
      </x:c>
      <x:c r="P10" s="36" t="str">
        <x:v>Agent Skills（兼容 Codex、Claude Code、Cursor 等）</x:v>
      </x:c>
      <x:c r="Q10" s="36" t="str">
        <x:v>社区 skill、GitHub 开源仓库</x:v>
      </x:c>
      <x:c r="R10" s="39" t="str">
        <x:v>MIT</x:v>
      </x:c>
      <x:c r="S10" s="41" t="n">
        <x:v>32822</x:v>
      </x:c>
      <x:c r="T10" s="42" t="n">
        <x:v>46237</x:v>
      </x:c>
      <x:c r="U10" s="36" t="str">
        <x:v>https://github.com/K-Dense-AI/scientific-agent-skills/blob/main/skills/zarr-python/SKILL.md</x:v>
      </x:c>
      <x:c r="V10" s="36" t="str">
        <x:v>https://github.com/K-Dense-AI/scientific-agent-skills</x:v>
      </x:c>
    </x:row>
    <x:row r="11" ht="92" customHeight="1">
      <x:c r="A11" s="37" t="n">
        <x:v>7</x:v>
      </x:c>
      <x:c r="B11" s="38" t="str">
        <x:v>05-14 基础绘图与科学图表</x:v>
      </x:c>
      <x:c r="C11" s="38" t="str">
        <x:v>Matplotlib 通用绘图</x:v>
      </x:c>
      <x:c r="D11" s="35" t="str">
        <x:v>用面向对象连接方式完成可控的二维绘图、布局、标注和多格式导出。</x:v>
      </x:c>
      <x:c r="E11" s="35" t="str">
        <x:v>适合学生、教师、科研人员、数据与技术支持人员使用。</x:v>
      </x:c>
      <x:c r="F11" s="35" t="str">
        <x:v>需要精确控制二维科研图的坐标轴、标注、布局和导出格式时使用。</x:v>
      </x:c>
      <x:c r="G11" s="35" t="str">
        <x:v>需要准备 Matplotlib（制作和细调二维图表的软件）、绘图数据、图表尺寸和期刊或课程的版式要求。</x:v>
      </x:c>
      <x:c r="H11" s="35" t="str">
        <x:v>需要注意：代码能生成图不代表表达正确；颜色、尺度、字体和可读性仍需人工审查。</x:v>
      </x:c>
      <x:c r="I11" s="37" t="str">
        <x:v>中</x:v>
      </x:c>
      <x:c r="J11" s="37" t="str">
        <x:v>A｜调整少</x:v>
      </x:c>
      <x:c r="K11" s="35" t="str">
        <x:v>先建立本校常用图表样式和导出设置，用代表性数据检查屏幕与打印效果。</x:v>
      </x:c>
      <x:c r="L11" s="35" t="str">
        <x:v>包内容已核验：已核对用途说明和包内文件；本次未安装、未运行，不能据此判断实际效果。</x:v>
      </x:c>
      <x:c r="M11" s="39" t="str">
        <x:v>matplotlib</x:v>
      </x:c>
      <x:c r="N11" s="39" t="str">
        <x:v>GH-05-0007</x:v>
      </x:c>
      <x:c r="O11" s="36" t="str">
        <x:v>Matplotlib、静态图、子图、导出</x:v>
      </x:c>
      <x:c r="P11" s="36" t="str">
        <x:v>Agent Skills（兼容 Codex、Claude Code、Cursor 等）</x:v>
      </x:c>
      <x:c r="Q11" s="36" t="str">
        <x:v>社区 skill、GitHub 开源仓库</x:v>
      </x:c>
      <x:c r="R11" s="39" t="str">
        <x:v>MIT</x:v>
      </x:c>
      <x:c r="S11" s="41" t="n">
        <x:v>32822</x:v>
      </x:c>
      <x:c r="T11" s="42" t="n">
        <x:v>46237</x:v>
      </x:c>
      <x:c r="U11" s="36" t="str">
        <x:v>https://github.com/K-Dense-AI/scientific-agent-skills/blob/main/skills/matplotlib/SKILL.md</x:v>
      </x:c>
      <x:c r="V11" s="36" t="str">
        <x:v>https://github.com/K-Dense-AI/scientific-agent-skills</x:v>
      </x:c>
    </x:row>
    <x:row r="12" ht="92" customHeight="1">
      <x:c r="A12" s="37" t="n">
        <x:v>8</x:v>
      </x:c>
      <x:c r="B12" s="38" t="str">
        <x:v>05-14 基础绘图与科学图表</x:v>
      </x:c>
      <x:c r="C12" s="38" t="str">
        <x:v>Seaborn 统计可视化</x:v>
      </x:c>
      <x:c r="D12" s="35" t="str">
        <x:v>以统计语义快速制作分布、关系和分类比较图，并与 Matplotlib（制作和细调二维图表的软件）精细控制协同。</x:v>
      </x:c>
      <x:c r="E12" s="35" t="str">
        <x:v>适合学生、教师、科研人员、数据与技术支持人员使用。</x:v>
      </x:c>
      <x:c r="F12" s="35" t="str">
        <x:v>需要快速比较数据分布、变量关系或不同组别，并制作统计图时使用。</x:v>
      </x:c>
      <x:c r="G12" s="35" t="str">
        <x:v>需要准备 Seaborn（快速制作统计图表的软件）、整理好的数据表、分组字段和要回答的比较问题。</x:v>
      </x:c>
      <x:c r="H12" s="35" t="str">
        <x:v>需要注意：默认统计汇总可能掩盖样本差异；图形不能代替统计检验和数据说明。</x:v>
      </x:c>
      <x:c r="I12" s="37" t="str">
        <x:v>中</x:v>
      </x:c>
      <x:c r="J12" s="37" t="str">
        <x:v>A｜调整少</x:v>
      </x:c>
      <x:c r="K12" s="35" t="str">
        <x:v>先为常用分布图和分组图建立示例，再用 Matplotlib 补充学校要求的标注和导出格式。</x:v>
      </x:c>
      <x:c r="L12" s="35" t="str">
        <x:v>包内容已核验：已核对用途说明和包内文件；本次未安装、未运行，不能据此判断实际效果。</x:v>
      </x:c>
      <x:c r="M12" s="39" t="str">
        <x:v>seaborn</x:v>
      </x:c>
      <x:c r="N12" s="39" t="str">
        <x:v>GH-05-0008</x:v>
      </x:c>
      <x:c r="O12" s="36" t="str">
        <x:v>Seaborn、统计图、分布、关系、分类</x:v>
      </x:c>
      <x:c r="P12" s="36" t="str">
        <x:v>Agent Skills（兼容 Codex、Claude Code、Cursor 等）</x:v>
      </x:c>
      <x:c r="Q12" s="36" t="str">
        <x:v>社区 skill、GitHub 开源仓库</x:v>
      </x:c>
      <x:c r="R12" s="39" t="str">
        <x:v>MIT</x:v>
      </x:c>
      <x:c r="S12" s="41" t="n">
        <x:v>32822</x:v>
      </x:c>
      <x:c r="T12" s="42" t="n">
        <x:v>46237</x:v>
      </x:c>
      <x:c r="U12" s="36" t="str">
        <x:v>https://github.com/K-Dense-AI/scientific-agent-skills/blob/main/skills/seaborn/SKILL.md</x:v>
      </x:c>
      <x:c r="V12" s="36" t="str">
        <x:v>https://github.com/K-Dense-AI/scientific-agent-skills</x:v>
      </x:c>
    </x:row>
    <x:row r="13" ht="92" customHeight="1">
      <x:c r="A13" s="37" t="n">
        <x:v>9</x:v>
      </x:c>
      <x:c r="B13" s="38" t="str">
        <x:v>05-14 基础绘图与科学图表</x:v>
      </x:c>
      <x:c r="C13" s="38" t="str">
        <x:v>科学图表设计与审计</x:v>
      </x:c>
      <x:c r="D13" s="35" t="str">
        <x:v>从证据与传播目标出发选择诚实编码，落实无障碍、导出和来源追踪检查。</x:v>
      </x:c>
      <x:c r="E13" s="35" t="str">
        <x:v>适合学生、教师、科研人员、数据与技术支持人员使用。</x:v>
      </x:c>
      <x:c r="F13" s="35" t="str">
        <x:v>准备论文、报告或课程图表，需要检查图形是否诚实、清楚且便于不同读者理解时使用。</x:v>
      </x:c>
      <x:c r="G13" s="35" t="str">
        <x:v>需要准备原始数据、图表草稿、预期读者、传播目的和最终使用载体。</x:v>
      </x:c>
      <x:c r="H13" s="35" t="str">
        <x:v>需要注意：美观不能替代证据；截断坐标、颜色误导和来源缺失必须单独纠正。</x:v>
      </x:c>
      <x:c r="I13" s="37" t="str">
        <x:v>高</x:v>
      </x:c>
      <x:c r="J13" s="37" t="str">
        <x:v>A｜调整少</x:v>
      </x:c>
      <x:c r="K13" s="35" t="str">
        <x:v>把图表审计放在发布前，要求每张图保留数据来源、尺度选择和无障碍检查记录。</x:v>
      </x:c>
      <x:c r="L13" s="35" t="str">
        <x:v>包内容已核验：已核对用途说明和包内文件；本次未安装、未运行，不能据此判断实际效果。</x:v>
      </x:c>
      <x:c r="M13" s="39" t="str">
        <x:v>scientific-visualization</x:v>
      </x:c>
      <x:c r="N13" s="39" t="str">
        <x:v>GH-05-0009</x:v>
      </x:c>
      <x:c r="O13" s="36" t="str">
        <x:v>科学可视化、证据编码、无障碍、出版</x:v>
      </x:c>
      <x:c r="P13" s="36" t="str">
        <x:v>Agent Skills（兼容 Codex、Claude Code、Cursor 等）</x:v>
      </x:c>
      <x:c r="Q13" s="36" t="str">
        <x:v>社区 skill、GitHub 开源仓库</x:v>
      </x:c>
      <x:c r="R13" s="39" t="str">
        <x:v>MIT</x:v>
      </x:c>
      <x:c r="S13" s="41" t="n">
        <x:v>32822</x:v>
      </x:c>
      <x:c r="T13" s="42" t="n">
        <x:v>46237</x:v>
      </x:c>
      <x:c r="U13" s="36" t="str">
        <x:v>https://github.com/K-Dense-AI/scientific-agent-skills/blob/main/skills/scientific-visualization/SKILL.md</x:v>
      </x:c>
      <x:c r="V13" s="36" t="str">
        <x:v>https://github.com/K-Dense-AI/scientific-agent-skills</x:v>
      </x:c>
    </x:row>
    <x:row r="14" ht="92" customHeight="1">
      <x:c r="A14" s="37" t="n">
        <x:v>10</x:v>
      </x:c>
      <x:c r="B14" s="38" t="str">
        <x:v>05-15 地图、网络与交互式可视化</x:v>
      </x:c>
      <x:c r="C14" s="38" t="str">
        <x:v>NetworkX 网络分析</x:v>
      </x:c>
      <x:c r="D14" s="35" t="str">
        <x:v>创建和分析复杂网络，覆盖路径、中心性、聚类、社区和基础网络可视化。</x:v>
      </x:c>
      <x:c r="E14" s="35" t="str">
        <x:v>适合学生、教师、科研人员、数据与技术支持人员使用。</x:v>
      </x:c>
      <x:c r="F14" s="35" t="str">
        <x:v>研究对象之间存在关系，需要计算路径、关键节点、群组或连接结构时使用。</x:v>
      </x:c>
      <x:c r="G14" s="35" t="str">
        <x:v>需要准备 NetworkX（分析关系网络的软件）、节点与关系数据表，以及每条关系的含义和方向说明。</x:v>
      </x:c>
      <x:c r="H14" s="35" t="str">
        <x:v>需要注意：中心性或群组结果受网络边界影响，不能脱离数据采集范围解释。</x:v>
      </x:c>
      <x:c r="I14" s="37" t="str">
        <x:v>中</x:v>
      </x:c>
      <x:c r="J14" s="37" t="str">
        <x:v>A｜调整少</x:v>
      </x:c>
      <x:c r="K14" s="35" t="str">
        <x:v>先用小网络核对节点和关系，再选择与研究问题对应的指标并保存计算参数。</x:v>
      </x:c>
      <x:c r="L14" s="35" t="str">
        <x:v>包内容已核验：已核对用途说明和包内文件；本次未安装、未运行，不能据此判断实际效果。</x:v>
      </x:c>
      <x:c r="M14" s="39" t="str">
        <x:v>networkx</x:v>
      </x:c>
      <x:c r="N14" s="39" t="str">
        <x:v>GH-05-0010</x:v>
      </x:c>
      <x:c r="O14" s="36" t="str">
        <x:v>图网络、中心性、路径、社区、可视化</x:v>
      </x:c>
      <x:c r="P14" s="36" t="str">
        <x:v>Agent Skills（兼容 Codex、Claude Code、Cursor 等）</x:v>
      </x:c>
      <x:c r="Q14" s="36" t="str">
        <x:v>社区 skill、GitHub 开源仓库</x:v>
      </x:c>
      <x:c r="R14" s="39" t="str">
        <x:v>MIT</x:v>
      </x:c>
      <x:c r="S14" s="41" t="n">
        <x:v>32822</x:v>
      </x:c>
      <x:c r="T14" s="42" t="n">
        <x:v>46237</x:v>
      </x:c>
      <x:c r="U14" s="36" t="str">
        <x:v>https://github.com/K-Dense-AI/scientific-agent-skills/blob/main/skills/networkx/SKILL.md</x:v>
      </x:c>
      <x:c r="V14" s="36" t="str">
        <x:v>https://github.com/K-Dense-AI/scientific-agent-skills</x:v>
      </x:c>
    </x:row>
    <x:row r="15" ht="92" customHeight="1">
      <x:c r="A15" s="37" t="n">
        <x:v>11</x:v>
      </x:c>
      <x:c r="B15" s="38" t="str">
        <x:v>05-15 地图、网络与交互式可视化</x:v>
      </x:c>
      <x:c r="C15" s="38" t="str">
        <x:v>GeoPandas 空间数据分析</x:v>
      </x:c>
      <x:c r="D15" s="35" t="str">
        <x:v>处理矢量空间数据、坐标系、几何有效性、空间连接与地图输出。</x:v>
      </x:c>
      <x:c r="E15" s="35" t="str">
        <x:v>适合学生、教师、科研人员、数据与技术支持人员使用。</x:v>
      </x:c>
      <x:c r="F15" s="35" t="str">
        <x:v>数据带有地点、边界或坐标，需要空间连接、区域统计或地图展示时使用。</x:v>
      </x:c>
      <x:c r="G15" s="35" t="str">
        <x:v>需要准备 GeoPandas（处理地图和空间数据的软件）、空间数据文件、坐标系说明和有效的地理边界。</x:v>
      </x:c>
      <x:c r="H15" s="35" t="str">
        <x:v>需要注意：坐标系或几何错误会造成位置偏差；敏感地点数据不得未经处理公开。</x:v>
      </x:c>
      <x:c r="I15" s="37" t="str">
        <x:v>中</x:v>
      </x:c>
      <x:c r="J15" s="37" t="str">
        <x:v>A｜调整少</x:v>
      </x:c>
      <x:c r="K15" s="35" t="str">
        <x:v>先统一坐标系并检查无效几何，再对少量区域核对空间连接结果后批量处理。</x:v>
      </x:c>
      <x:c r="L15" s="35" t="str">
        <x:v>包内容已核验：已核对用途说明和包内文件；本次未安装、未运行，不能据此判断实际效果。</x:v>
      </x:c>
      <x:c r="M15" s="39" t="str">
        <x:v>geopandas</x:v>
      </x:c>
      <x:c r="N15" s="39" t="str">
        <x:v>GH-05-0011</x:v>
      </x:c>
      <x:c r="O15" s="36" t="str">
        <x:v>GeoPandas、GIS、CRS、空间连接、地图</x:v>
      </x:c>
      <x:c r="P15" s="36" t="str">
        <x:v>Agent Skills（兼容 Codex、Claude Code、Cursor 等）</x:v>
      </x:c>
      <x:c r="Q15" s="36" t="str">
        <x:v>社区 skill、GitHub 开源仓库</x:v>
      </x:c>
      <x:c r="R15" s="39" t="str">
        <x:v>MIT</x:v>
      </x:c>
      <x:c r="S15" s="41" t="n">
        <x:v>32822</x:v>
      </x:c>
      <x:c r="T15" s="42" t="n">
        <x:v>46237</x:v>
      </x:c>
      <x:c r="U15" s="36" t="str">
        <x:v>https://github.com/K-Dense-AI/scientific-agent-skills/blob/main/skills/geopandas/SKILL.md</x:v>
      </x:c>
      <x:c r="V15" s="36" t="str">
        <x:v>https://github.com/K-Dense-AI/scientific-agent-skills</x:v>
      </x:c>
    </x:row>
    <x:row r="16" ht="92" customHeight="1">
      <x:c r="A16" s="37" t="n">
        <x:v>12</x:v>
      </x:c>
      <x:c r="B16" s="38" t="str">
        <x:v>05-09 机器学习建模、解释与评估</x:v>
      </x:c>
      <x:c r="C16" s="38" t="str">
        <x:v>Scikit-learn 机器学习</x:v>
      </x:c>
      <x:c r="D16" s="35" t="str">
        <x:v>构建预处理、训练、验证、模型选择和解释相衔接的传统机器学习流程。</x:v>
      </x:c>
      <x:c r="E16" s="35" t="str">
        <x:v>适合学生、教师、科研人员、数据与技术支持人员使用。</x:v>
      </x:c>
      <x:c r="F16" s="35" t="str">
        <x:v>需要用结构化数据训练分类或预测模型，并比较多个传统机器学习方法时使用。</x:v>
      </x:c>
      <x:c r="G16" s="35" t="str">
        <x:v>需要准备 Scikit-learn（用于传统机器学习的软件）、带目标字段的数据表、训练与验证划分及评价指标。</x:v>
      </x:c>
      <x:c r="H16" s="35" t="str">
        <x:v>需要注意：数据泄漏和不平衡样本会夸大效果；模型必须在未参与训练的数据上评价。</x:v>
      </x:c>
      <x:c r="I16" s="37" t="str">
        <x:v>中</x:v>
      </x:c>
      <x:c r="J16" s="37" t="str">
        <x:v>A｜调整少</x:v>
      </x:c>
      <x:c r="K16" s="35" t="str">
        <x:v>把数据预处理、模型训练和验证组成一条可重复流程，保存版本、随机种子和评价结果。</x:v>
      </x:c>
      <x:c r="L16" s="35" t="str">
        <x:v>包内容已核验：已核对用途说明和包内文件；本次未安装、未运行，不能据此判断实际效果。</x:v>
      </x:c>
      <x:c r="M16" s="39" t="str">
        <x:v>scikit-learn</x:v>
      </x:c>
      <x:c r="N16" s="39" t="str">
        <x:v>GH-05-0012</x:v>
      </x:c>
      <x:c r="O16" s="36" t="str">
        <x:v>机器学习、预处理、模型选择、评估、管道</x:v>
      </x:c>
      <x:c r="P16" s="36" t="str">
        <x:v>Agent Skills（兼容 Codex、Claude Code、Cursor 等）</x:v>
      </x:c>
      <x:c r="Q16" s="36" t="str">
        <x:v>社区 skill、GitHub 开源仓库</x:v>
      </x:c>
      <x:c r="R16" s="39" t="str">
        <x:v>MIT</x:v>
      </x:c>
      <x:c r="S16" s="41" t="n">
        <x:v>32822</x:v>
      </x:c>
      <x:c r="T16" s="42" t="n">
        <x:v>46237</x:v>
      </x:c>
      <x:c r="U16" s="36" t="str">
        <x:v>https://github.com/K-Dense-AI/scientific-agent-skills/blob/main/skills/scikit-learn/SKILL.md</x:v>
      </x:c>
      <x:c r="V16" s="36" t="str">
        <x:v>https://github.com/K-Dense-AI/scientific-agent-skills</x:v>
      </x:c>
    </x:row>
    <x:row r="17" ht="92" customHeight="1">
      <x:c r="A17" s="37" t="n">
        <x:v>13</x:v>
      </x:c>
      <x:c r="B17" s="38" t="str">
        <x:v>05-06 基础统计分析与结果报告</x:v>
      </x:c>
      <x:c r="C17" s="38" t="str">
        <x:v>统计分析选择与报告</x:v>
      </x:c>
      <x:c r="D17" s="35" t="str">
        <x:v>依据研究设计、变量类型和假设条件选择统计方法，并完成诊断、效应量和结果报告。</x:v>
      </x:c>
      <x:c r="E17" s="35" t="str">
        <x:v>适合学生、教师、科研人员、数据与技术支持人员使用。</x:v>
      </x:c>
      <x:c r="F17" s="35" t="str">
        <x:v>面对研究数据但不确定应选哪种统计检验或怎样规范报告结果时使用。</x:v>
      </x:c>
      <x:c r="G17" s="35" t="str">
        <x:v>需要准备研究设计、变量类型、样本量、数据表和需要检验的假设。</x:v>
      </x:c>
      <x:c r="H17" s="35" t="str">
        <x:v>需要注意：自动推荐不能替代研究设计判断；使用条件不满足时必须改用合适方法。</x:v>
      </x:c>
      <x:c r="I17" s="37" t="str">
        <x:v>高</x:v>
      </x:c>
      <x:c r="J17" s="37" t="str">
        <x:v>A｜调整少</x:v>
      </x:c>
      <x:c r="K17" s="35" t="str">
        <x:v>先把研究设计和变量说明作为必填输入，再把诊断、效应量和结论一起纳入报告模板。</x:v>
      </x:c>
      <x:c r="L17" s="35" t="str">
        <x:v>包内容已核验：已核对用途说明和包内文件；本次未安装、未运行，不能据此判断实际效果。</x:v>
      </x:c>
      <x:c r="M17" s="39" t="str">
        <x:v>statistical-analysis</x:v>
      </x:c>
      <x:c r="N17" s="39" t="str">
        <x:v>GH-05-0013</x:v>
      </x:c>
      <x:c r="O17" s="36" t="str">
        <x:v>统计检验、假设、效应量、报告、诊断</x:v>
      </x:c>
      <x:c r="P17" s="36" t="str">
        <x:v>Agent Skills（兼容 Codex、Claude Code、Cursor 等）</x:v>
      </x:c>
      <x:c r="Q17" s="36" t="str">
        <x:v>社区 skill、GitHub 开源仓库</x:v>
      </x:c>
      <x:c r="R17" s="39" t="str">
        <x:v>MIT</x:v>
      </x:c>
      <x:c r="S17" s="41" t="n">
        <x:v>32822</x:v>
      </x:c>
      <x:c r="T17" s="42" t="n">
        <x:v>46237</x:v>
      </x:c>
      <x:c r="U17" s="36" t="str">
        <x:v>https://github.com/K-Dense-AI/scientific-agent-skills/blob/main/skills/statistical-analysis/SKILL.md</x:v>
      </x:c>
      <x:c r="V17" s="36" t="str">
        <x:v>https://github.com/K-Dense-AI/scientific-agent-skills</x:v>
      </x:c>
    </x:row>
    <x:row r="18" ht="92" customHeight="1">
      <x:c r="A18" s="37" t="n">
        <x:v>14</x:v>
      </x:c>
      <x:c r="B18" s="38" t="str">
        <x:v>05-08 贝叶斯分析、因果分析与实验设计</x:v>
      </x:c>
      <x:c r="C18" s="38" t="str">
        <x:v>统计功效与样本量规划</x:v>
      </x:c>
      <x:c r="D18" s="35" t="str">
        <x:v>围绕目标效应、显著性水平和功效进行样本量估计及复杂模型的模拟功效分析。</x:v>
      </x:c>
      <x:c r="E18" s="35" t="str">
        <x:v>适合学生、教师、科研人员、数据与技术支持人员使用。</x:v>
      </x:c>
      <x:c r="F18" s="35" t="str">
        <x:v>在研究开始前估计样本量，或判断现有样本能否发现目标效应时使用。</x:v>
      </x:c>
      <x:c r="G18" s="35" t="str">
        <x:v>需要准备目标效应、显著性水平、期望把握度、研究设计和预计数据波动。</x:v>
      </x:c>
      <x:c r="H18" s="35" t="str">
        <x:v>需要注意：样本量取决于输入假设；效应估计过于乐观会低估实际所需样本。</x:v>
      </x:c>
      <x:c r="I18" s="37" t="str">
        <x:v>高</x:v>
      </x:c>
      <x:c r="J18" s="37" t="str">
        <x:v>A｜调整少</x:v>
      </x:c>
      <x:c r="K18" s="35" t="str">
        <x:v>把样本量计算放进研究设计审批，保存参数来源，并用多个合理假设做敏感性比较。</x:v>
      </x:c>
      <x:c r="L18" s="35" t="str">
        <x:v>包内容已核验：已核对用途说明和包内文件；本次未安装、未运行，不能据此判断实际效果。</x:v>
      </x:c>
      <x:c r="M18" s="39" t="str">
        <x:v>statistical-power</x:v>
      </x:c>
      <x:c r="N18" s="39" t="str">
        <x:v>GH-05-0014</x:v>
      </x:c>
      <x:c r="O18" s="36" t="str">
        <x:v>统计功效、样本量、效应量、模拟</x:v>
      </x:c>
      <x:c r="P18" s="36" t="str">
        <x:v>Agent Skills（兼容 Codex、Claude Code、Cursor 等）</x:v>
      </x:c>
      <x:c r="Q18" s="36" t="str">
        <x:v>社区 skill、GitHub 开源仓库</x:v>
      </x:c>
      <x:c r="R18" s="39" t="str">
        <x:v>MIT</x:v>
      </x:c>
      <x:c r="S18" s="41" t="n">
        <x:v>32822</x:v>
      </x:c>
      <x:c r="T18" s="42" t="n">
        <x:v>46237</x:v>
      </x:c>
      <x:c r="U18" s="36" t="str">
        <x:v>https://github.com/K-Dense-AI/scientific-agent-skills/blob/main/skills/statistical-power/SKILL.md</x:v>
      </x:c>
      <x:c r="V18" s="36" t="str">
        <x:v>https://github.com/K-Dense-AI/scientific-agent-skills</x:v>
      </x:c>
    </x:row>
    <x:row r="19" ht="92" customHeight="1">
      <x:c r="A19" s="37" t="n">
        <x:v>15</x:v>
      </x:c>
      <x:c r="B19" s="38" t="str">
        <x:v>05-07 回归、时间序列与统计建模</x:v>
      </x:c>
      <x:c r="C19" s="38" t="str">
        <x:v>Statsmodels 统计建模</x:v>
      </x:c>
      <x:c r="D19" s="35" t="str">
        <x:v>使用 Statsmodels（用于统计建模和推断的软件）完成回归、广义模型、时间序列与严格推断，并保留诊断输出。</x:v>
      </x:c>
      <x:c r="E19" s="35" t="str">
        <x:v>适合学生、教师、科研人员、数据与技术支持人员使用。</x:v>
      </x:c>
      <x:c r="F19" s="35" t="str">
        <x:v>需要建立回归、广义模型或时间序列模型，并保留严格的统计诊断时使用。</x:v>
      </x:c>
      <x:c r="G19" s="35" t="str">
        <x:v>需要准备 Statsmodels、分析数据表、模型公式、变量说明和推断目标。</x:v>
      </x:c>
      <x:c r="H19" s="35" t="str">
        <x:v>需要注意：系数显著不代表因果；残差、相关性和模型设定错误会影响结论。</x:v>
      </x:c>
      <x:c r="I19" s="37" t="str">
        <x:v>高</x:v>
      </x:c>
      <x:c r="J19" s="37" t="str">
        <x:v>A｜调整少</x:v>
      </x:c>
      <x:c r="K19" s="35" t="str">
        <x:v>先固定模型公式与诊断清单，要求每次结果同时保存系数表、置信区间和残差检查。</x:v>
      </x:c>
      <x:c r="L19" s="35" t="str">
        <x:v>包内容已核验：已核对用途说明和包内文件；本次未安装、未运行，不能据此判断实际效果。</x:v>
      </x:c>
      <x:c r="M19" s="39" t="str">
        <x:v>statsmodels</x:v>
      </x:c>
      <x:c r="N19" s="39" t="str">
        <x:v>GH-05-0015</x:v>
      </x:c>
      <x:c r="O19" s="36" t="str">
        <x:v>回归、GLM、混合模型、时间序列、诊断</x:v>
      </x:c>
      <x:c r="P19" s="36" t="str">
        <x:v>Agent Skills（兼容 Codex、Claude Code、Cursor 等）</x:v>
      </x:c>
      <x:c r="Q19" s="36" t="str">
        <x:v>社区 skill、GitHub 开源仓库</x:v>
      </x:c>
      <x:c r="R19" s="39" t="str">
        <x:v>MIT</x:v>
      </x:c>
      <x:c r="S19" s="41" t="n">
        <x:v>32822</x:v>
      </x:c>
      <x:c r="T19" s="42" t="n">
        <x:v>46237</x:v>
      </x:c>
      <x:c r="U19" s="36" t="str">
        <x:v>https://github.com/K-Dense-AI/scientific-agent-skills/blob/main/skills/statsmodels/SKILL.md</x:v>
      </x:c>
      <x:c r="V19" s="36" t="str">
        <x:v>https://github.com/K-Dense-AI/scientific-agent-skills</x:v>
      </x:c>
    </x:row>
    <x:row r="20" ht="92" customHeight="1">
      <x:c r="A20" s="37" t="n">
        <x:v>16</x:v>
      </x:c>
      <x:c r="B20" s="38" t="str">
        <x:v>05-08 贝叶斯分析、因果分析与实验设计</x:v>
      </x:c>
      <x:c r="C20" s="38" t="str">
        <x:v>PyMC 贝叶斯建模</x:v>
      </x:c>
      <x:c r="D20" s="35" t="str">
        <x:v>按标准贝叶斯处理流程选择先验与似然、采样、诊断和解释后验不确定性。</x:v>
      </x:c>
      <x:c r="E20" s="35" t="str">
        <x:v>适合学生、教师、科研人员、数据与技术支持人员使用。</x:v>
      </x:c>
      <x:c r="F20" s="35" t="str">
        <x:v>需要用贝叶斯方法结合先前认识与新数据，并表达结论不确定性时使用。</x:v>
      </x:c>
      <x:c r="G20" s="35" t="str">
        <x:v>需要准备 PyMC（用于贝叶斯统计建模的软件）、观测数据、先验依据、候选模型和需要回答的概率问题。</x:v>
      </x:c>
      <x:c r="H20" s="35" t="str">
        <x:v>需要注意：先验和模型选择会影响结果；采样没有稳定收敛时不能解释后验结论。</x:v>
      </x:c>
      <x:c r="I20" s="37" t="str">
        <x:v>中</x:v>
      </x:c>
      <x:c r="J20" s="37" t="str">
        <x:v>A｜调整少</x:v>
      </x:c>
      <x:c r="K20" s="35" t="str">
        <x:v>先用简化模型检查采样与诊断，再记录先验理由、收敛指标和替代模型比较。</x:v>
      </x:c>
      <x:c r="L20" s="35" t="str">
        <x:v>包内容已核验：已核对用途说明和包内文件；本次未安装、未运行，不能据此判断实际效果。</x:v>
      </x:c>
      <x:c r="M20" s="39" t="str">
        <x:v>pymc</x:v>
      </x:c>
      <x:c r="N20" s="39" t="str">
        <x:v>GH-05-0016</x:v>
      </x:c>
      <x:c r="O20" s="36" t="str">
        <x:v>贝叶斯、MCMC、先验、后验、诊断</x:v>
      </x:c>
      <x:c r="P20" s="36" t="str">
        <x:v>Agent Skills（兼容 Codex、Claude Code、Cursor 等）</x:v>
      </x:c>
      <x:c r="Q20" s="36" t="str">
        <x:v>社区 skill、GitHub 开源仓库</x:v>
      </x:c>
      <x:c r="R20" s="39" t="str">
        <x:v>MIT</x:v>
      </x:c>
      <x:c r="S20" s="41" t="n">
        <x:v>32822</x:v>
      </x:c>
      <x:c r="T20" s="42" t="n">
        <x:v>46237</x:v>
      </x:c>
      <x:c r="U20" s="36" t="str">
        <x:v>https://github.com/K-Dense-AI/scientific-agent-skills/blob/main/skills/pymc/SKILL.md</x:v>
      </x:c>
      <x:c r="V20" s="36" t="str">
        <x:v>https://github.com/K-Dense-AI/scientific-agent-skills</x:v>
      </x:c>
    </x:row>
    <x:row r="21" ht="92" customHeight="1">
      <x:c r="A21" s="37" t="n">
        <x:v>17</x:v>
      </x:c>
      <x:c r="B21" s="38" t="str">
        <x:v>05-11 数学计算、单位与误差</x:v>
      </x:c>
      <x:c r="C21" s="38" t="str">
        <x:v>SymPy 符号数学</x:v>
      </x:c>
      <x:c r="D21" s="35" t="str">
        <x:v>用精确符号对象完成代数化简、求解、微积分、矩阵和数值代码转换。</x:v>
      </x:c>
      <x:c r="E21" s="35" t="str">
        <x:v>适合学生、教师、科研人员、数据与技术支持人员使用。</x:v>
      </x:c>
      <x:c r="F21" s="35" t="str">
        <x:v>需要保留数学符号精确性来化简表达式、解方程、求导积分或处理矩阵时使用。</x:v>
      </x:c>
      <x:c r="G21" s="35" t="str">
        <x:v>需要准备 SymPy（进行符号数学计算的软件）、明确的数学表达式、变量假设和期望的结果形式。</x:v>
      </x:c>
      <x:c r="H21" s="35" t="str">
        <x:v>需要注意：符号结果可能很复杂；变量范围或假设缺失会得到不适用的解。</x:v>
      </x:c>
      <x:c r="I21" s="37" t="str">
        <x:v>高</x:v>
      </x:c>
      <x:c r="J21" s="37" t="str">
        <x:v>A｜调整少</x:v>
      </x:c>
      <x:c r="K21" s="35" t="str">
        <x:v>先把变量条件写入计算步骤，对关键结果做代入或数值复核，再导出可读公式。</x:v>
      </x:c>
      <x:c r="L21" s="35" t="str">
        <x:v>包内容已核验：已核对用途说明和包内文件；本次未安装、未运行，不能据此判断实际效果。</x:v>
      </x:c>
      <x:c r="M21" s="39" t="str">
        <x:v>sympy</x:v>
      </x:c>
      <x:c r="N21" s="39" t="str">
        <x:v>GH-05-0017</x:v>
      </x:c>
      <x:c r="O21" s="36" t="str">
        <x:v>符号计算、代数、微积分、方程、代码生成</x:v>
      </x:c>
      <x:c r="P21" s="36" t="str">
        <x:v>Agent Skills（兼容 Codex、Claude Code、Cursor 等）</x:v>
      </x:c>
      <x:c r="Q21" s="36" t="str">
        <x:v>社区 skill、GitHub 开源仓库</x:v>
      </x:c>
      <x:c r="R21" s="39" t="str">
        <x:v>MIT</x:v>
      </x:c>
      <x:c r="S21" s="41" t="n">
        <x:v>32822</x:v>
      </x:c>
      <x:c r="T21" s="42" t="n">
        <x:v>46237</x:v>
      </x:c>
      <x:c r="U21" s="36" t="str">
        <x:v>https://github.com/K-Dense-AI/scientific-agent-skills/blob/main/skills/sympy/SKILL.md</x:v>
      </x:c>
      <x:c r="V21" s="36" t="str">
        <x:v>https://github.com/K-Dense-AI/scientific-agent-skills</x:v>
      </x:c>
    </x:row>
    <x:row r="22" ht="92" customHeight="1">
      <x:c r="A22" s="37" t="n">
        <x:v>18</x:v>
      </x:c>
      <x:c r="B22" s="38" t="str">
        <x:v>05-11 数学计算、单位与误差</x:v>
      </x:c>
      <x:c r="C22" s="38" t="str">
        <x:v>测量不确定度与单位计算</x:v>
      </x:c>
      <x:c r="D22" s="35" t="str">
        <x:v>在计算中保留单位和不确定度，防止尺度、偏移温度及对数单位等常见错误。</x:v>
      </x:c>
      <x:c r="E22" s="35" t="str">
        <x:v>适合学生、教师、科研人员、数据与技术支持人员使用。</x:v>
      </x:c>
      <x:c r="F22" s="35" t="str">
        <x:v>计算涉及物理单位、测量误差或不确定度传播，担心量纲和尺度出错时使用。</x:v>
      </x:c>
      <x:c r="G22" s="35" t="str">
        <x:v>需要准备各数值的单位、不确定度、测量来源和所用计算公式。</x:v>
      </x:c>
      <x:c r="H22" s="35" t="str">
        <x:v>需要注意：输入单位或误差假设错误会传递到结果；相关误差不能一律按独立处理。</x:v>
      </x:c>
      <x:c r="I22" s="37" t="str">
        <x:v>高</x:v>
      </x:c>
      <x:c r="J22" s="37" t="str">
        <x:v>A｜调整少</x:v>
      </x:c>
      <x:c r="K22" s="35" t="str">
        <x:v>先统一单位并标记每个测量来源，再把单位检查和误差传播作为计算必经步骤。</x:v>
      </x:c>
      <x:c r="L22" s="35" t="str">
        <x:v>包内容已核验：已核对用途说明和包内文件；本次未安装、未运行，不能据此判断实际效果。</x:v>
      </x:c>
      <x:c r="M22" s="39" t="str">
        <x:v>uncertainty-and-units</x:v>
      </x:c>
      <x:c r="N22" s="39" t="str">
        <x:v>GH-05-0018</x:v>
      </x:c>
      <x:c r="O22" s="36" t="str">
        <x:v>单位、误差传播、测量、不确定度、量纲</x:v>
      </x:c>
      <x:c r="P22" s="36" t="str">
        <x:v>Agent Skills（兼容 Codex、Claude Code、Cursor 等）</x:v>
      </x:c>
      <x:c r="Q22" s="36" t="str">
        <x:v>社区 skill、GitHub 开源仓库</x:v>
      </x:c>
      <x:c r="R22" s="39" t="str">
        <x:v>MIT</x:v>
      </x:c>
      <x:c r="S22" s="41" t="n">
        <x:v>32822</x:v>
      </x:c>
      <x:c r="T22" s="42" t="n">
        <x:v>46237</x:v>
      </x:c>
      <x:c r="U22" s="36" t="str">
        <x:v>https://github.com/K-Dense-AI/scientific-agent-skills/blob/main/skills/uncertainty-and-units/SKILL.md</x:v>
      </x:c>
      <x:c r="V22" s="36" t="str">
        <x:v>https://github.com/K-Dense-AI/scientific-agent-skills</x:v>
      </x:c>
    </x:row>
    <x:row r="23" ht="92" customHeight="1">
      <x:c r="A23" s="37" t="n">
        <x:v>19</x:v>
      </x:c>
      <x:c r="B23" s="38" t="str">
        <x:v>05-09 机器学习建模、解释与评估</x:v>
      </x:c>
      <x:c r="C23" s="38" t="str">
        <x:v>SHAP 模型解释</x:v>
      </x:c>
      <x:c r="D23" s="35" t="str">
        <x:v>选择合适解释器与背景分布，计算并审计局部和全局特征贡献。</x:v>
      </x:c>
      <x:c r="E23" s="35" t="str">
        <x:v>适合学生、教师、科研人员、数据与技术支持人员使用。</x:v>
      </x:c>
      <x:c r="F23" s="35" t="str">
        <x:v>已有机器学习模型，需要解释单个预测或整体上哪些因素影响结果时使用。</x:v>
      </x:c>
      <x:c r="G23" s="35" t="str">
        <x:v>需要准备 SHAP（解释模型预测受各项因素影响程度的方法）、已训练模型、用于解释的样本和合适的参考数据。</x:v>
      </x:c>
      <x:c r="H23" s="35" t="str">
        <x:v>需要注意：因素贡献不等于因果作用；参考数据选取不同会改变解释结果。</x:v>
      </x:c>
      <x:c r="I23" s="37" t="str">
        <x:v>中</x:v>
      </x:c>
      <x:c r="J23" s="37" t="str">
        <x:v>A｜调整少</x:v>
      </x:c>
      <x:c r="K23" s="35" t="str">
        <x:v>先在少量已知样本上核对解释方向，再分别输出个体与整体结果并记录参考数据。</x:v>
      </x:c>
      <x:c r="L23" s="35" t="str">
        <x:v>包内容已核验：已核对用途说明和包内文件；本次未安装、未运行，不能据此判断实际效果。</x:v>
      </x:c>
      <x:c r="M23" s="39" t="str">
        <x:v>shap</x:v>
      </x:c>
      <x:c r="N23" s="39" t="str">
        <x:v>GH-05-0019</x:v>
      </x:c>
      <x:c r="O23" s="36" t="str">
        <x:v>SHAP、可解释机器学习、特征贡献、公平性</x:v>
      </x:c>
      <x:c r="P23" s="36" t="str">
        <x:v>Agent Skills（兼容 Codex、Claude Code、Cursor 等）</x:v>
      </x:c>
      <x:c r="Q23" s="36" t="str">
        <x:v>社区 skill、GitHub 开源仓库</x:v>
      </x:c>
      <x:c r="R23" s="39" t="str">
        <x:v>MIT</x:v>
      </x:c>
      <x:c r="S23" s="41" t="n">
        <x:v>32822</x:v>
      </x:c>
      <x:c r="T23" s="42" t="n">
        <x:v>46237</x:v>
      </x:c>
      <x:c r="U23" s="36" t="str">
        <x:v>https://github.com/K-Dense-AI/scientific-agent-skills/blob/main/skills/shap/SKILL.md</x:v>
      </x:c>
      <x:c r="V23" s="36" t="str">
        <x:v>https://github.com/K-Dense-AI/scientific-agent-skills</x:v>
      </x:c>
    </x:row>
    <x:row r="24" ht="92" customHeight="1">
      <x:c r="A24" s="37" t="n">
        <x:v>20</x:v>
      </x:c>
      <x:c r="B24" s="38" t="str">
        <x:v>05-09 机器学习建模、解释与评估</x:v>
      </x:c>
      <x:c r="C24" s="38" t="str">
        <x:v>UMAP 降维与嵌入</x:v>
      </x:c>
      <x:c r="D24" s="35" t="str">
        <x:v>对标准化数据构建 UMAP 嵌入（把高维数据转换成便于绘图的一组坐标），调节邻域与距离参数并避免过度解释二维图。</x:v>
      </x:c>
      <x:c r="E24" s="35" t="str">
        <x:v>适合学生、教师、科研人员、数据与技术支持人员使用。</x:v>
      </x:c>
      <x:c r="F24" s="35" t="str">
        <x:v>高维数据难以直接观察，需要压缩到二维或三维来发现群组和异常点时使用。</x:v>
      </x:c>
      <x:c r="G24" s="35" t="str">
        <x:v>需要准备 UMAP（把高维数据压缩成二维或三维图形的方法）、完成标准化的数据表、距离含义和要比较的样本标签。</x:v>
      </x:c>
      <x:c r="H24" s="35" t="str">
        <x:v>需要注意：二维位置会随设置和随机性变化，图上距离不能被当作精确原始距离。</x:v>
      </x:c>
      <x:c r="I24" s="37" t="str">
        <x:v>中</x:v>
      </x:c>
      <x:c r="J24" s="37" t="str">
        <x:v>A｜调整少</x:v>
      </x:c>
      <x:c r="K24" s="35" t="str">
        <x:v>先固定随机种子并比较多组邻域设置，只把稳定出现的结构交给后续分析。</x:v>
      </x:c>
      <x:c r="L24" s="35" t="str">
        <x:v>包内容已核验：已核对用途说明和包内文件；本次未安装、未运行，不能据此判断实际效果。</x:v>
      </x:c>
      <x:c r="M24" s="39" t="str">
        <x:v>umap-learn</x:v>
      </x:c>
      <x:c r="N24" s="39" t="str">
        <x:v>GH-05-0020</x:v>
      </x:c>
      <x:c r="O24" s="36" t="str">
        <x:v>UMAP、降维、聚类可视化、参数调优</x:v>
      </x:c>
      <x:c r="P24" s="36" t="str">
        <x:v>Agent Skills（兼容 Codex、Claude Code、Cursor 等）</x:v>
      </x:c>
      <x:c r="Q24" s="36" t="str">
        <x:v>社区 skill、GitHub 开源仓库</x:v>
      </x:c>
      <x:c r="R24" s="39" t="str">
        <x:v>MIT</x:v>
      </x:c>
      <x:c r="S24" s="41" t="n">
        <x:v>32822</x:v>
      </x:c>
      <x:c r="T24" s="42" t="n">
        <x:v>46237</x:v>
      </x:c>
      <x:c r="U24" s="36" t="str">
        <x:v>https://github.com/K-Dense-AI/scientific-agent-skills/blob/main/skills/umap-learn/SKILL.md</x:v>
      </x:c>
      <x:c r="V24" s="36" t="str">
        <x:v>https://github.com/K-Dense-AI/scientific-agent-skills</x:v>
      </x:c>
    </x:row>
    <x:row r="25" ht="92" customHeight="1">
      <x:c r="A25" s="37" t="n">
        <x:v>21</x:v>
      </x:c>
      <x:c r="B25" s="38" t="str">
        <x:v>05-07 回归、时间序列与统计建模</x:v>
      </x:c>
      <x:c r="C25" s="38" t="str">
        <x:v>TimesFM 时间序列预测</x:v>
      </x:c>
      <x:c r="D25" s="35" t="str">
        <x:v>在硬件和版本使用前检查后使用 TimesFM（用于时间序列预测的模型）进行零样本或微调时间序列预测与评估。</x:v>
      </x:c>
      <x:c r="E25" s="35" t="str">
        <x:v>适合学生、教师、科研人员、数据与技术支持人员使用。</x:v>
      </x:c>
      <x:c r="F25" s="35" t="str">
        <x:v>有按时间排列的数据，需要快速建立预测基线或在小样本上调整 TimesFM 时使用。</x:v>
      </x:c>
      <x:c r="G25" s="35" t="str">
        <x:v>需要准备连续时间序列、预测区间、TimesFM 对应硬件和明确的软件版本。</x:v>
      </x:c>
      <x:c r="H25" s="35" t="str">
        <x:v>需要注意：时间间隔、缺失值和版本差异会影响预测；未来数据不得混入训练。</x:v>
      </x:c>
      <x:c r="I25" s="37" t="str">
        <x:v>中</x:v>
      </x:c>
      <x:c r="J25" s="37" t="str">
        <x:v>A｜调整少</x:v>
      </x:c>
      <x:c r="K25" s="35" t="str">
        <x:v>先做硬件与版本检查，用历史留出区间比较基线，再决定是否进行小样本调整。</x:v>
      </x:c>
      <x:c r="L25" s="35" t="str">
        <x:v>包内容已核验：已核对用途说明和包内文件；本次未安装、未运行，不能据此判断实际效果。</x:v>
      </x:c>
      <x:c r="M25" s="39" t="str">
        <x:v>timesfm-forecasting</x:v>
      </x:c>
      <x:c r="N25" s="39" t="str">
        <x:v>GH-05-0021</x:v>
      </x:c>
      <x:c r="O25" s="36" t="str">
        <x:v>时间序列、基础模型、预测、硬件预检</x:v>
      </x:c>
      <x:c r="P25" s="36" t="str">
        <x:v>Agent Skills（兼容 Codex、Claude Code、Cursor 等）</x:v>
      </x:c>
      <x:c r="Q25" s="36" t="str">
        <x:v>社区 skill、GitHub 开源仓库</x:v>
      </x:c>
      <x:c r="R25" s="39" t="str">
        <x:v>MIT</x:v>
      </x:c>
      <x:c r="S25" s="41" t="n">
        <x:v>32822</x:v>
      </x:c>
      <x:c r="T25" s="42" t="n">
        <x:v>46237</x:v>
      </x:c>
      <x:c r="U25" s="36" t="str">
        <x:v>https://github.com/K-Dense-AI/scientific-agent-skills/blob/main/skills/timesfm-forecasting/SKILL.md</x:v>
      </x:c>
      <x:c r="V25" s="36" t="str">
        <x:v>https://github.com/K-Dense-AI/scientific-agent-skills</x:v>
      </x:c>
    </x:row>
    <x:row r="26" ht="92" customHeight="1">
      <x:c r="A26" s="37" t="n">
        <x:v>22</x:v>
      </x:c>
      <x:c r="B26" s="38" t="str">
        <x:v>05-11 数学计算、单位与误差</x:v>
      </x:c>
      <x:c r="C26" s="38" t="str">
        <x:v>MATLAB 与 GNU Octave 计算</x:v>
      </x:c>
      <x:c r="D26" s="35" t="str">
        <x:v>在许可证与安全边界内编写 MATLAB（用于数值计算与工程分析的软件）/Octave 脚本、函数、数值分析和可视化。</x:v>
      </x:c>
      <x:c r="E26" s="35" t="str">
        <x:v>适合学生、教师、科研人员、数据与技术支持人员使用。</x:v>
      </x:c>
      <x:c r="F26" s="35" t="str">
        <x:v>课程或科研已有 MATLAB 或 Octave 代码，需要数值计算、函数实现或绘图时使用。</x:v>
      </x:c>
      <x:c r="G26" s="35" t="str">
        <x:v>需要准备 MATLAB 或 GNU Octave、可用许可证、输入数据和预期数值结果。</x:v>
      </x:c>
      <x:c r="H26" s="35" t="str">
        <x:v>需要注意：两种软件并非完全兼容；外部命令、文件写入和许可证范围要受控。</x:v>
      </x:c>
      <x:c r="I26" s="37" t="str">
        <x:v>中</x:v>
      </x:c>
      <x:c r="J26" s="37" t="str">
        <x:v>A｜调整少</x:v>
      </x:c>
      <x:c r="K26" s="35" t="str">
        <x:v>先确认使用哪种软件和许可证，在隔离目录运行示例，并用已知结果核对数值误差。</x:v>
      </x:c>
      <x:c r="L26" s="35" t="str">
        <x:v>包内容已核验：已核对用途说明和包内文件；本次未安装、未运行，不能据此判断实际效果。</x:v>
      </x:c>
      <x:c r="M26" s="39" t="str">
        <x:v>matlab</x:v>
      </x:c>
      <x:c r="N26" s="39" t="str">
        <x:v>GH-05-0022</x:v>
      </x:c>
      <x:c r="O26" s="36" t="str">
        <x:v>MATLAB、Octave、数值计算、表格、绘图</x:v>
      </x:c>
      <x:c r="P26" s="36" t="str">
        <x:v>Agent Skills（兼容 Codex、Claude Code、Cursor 等）</x:v>
      </x:c>
      <x:c r="Q26" s="36" t="str">
        <x:v>社区 skill、GitHub 开源仓库</x:v>
      </x:c>
      <x:c r="R26" s="39" t="str">
        <x:v>MIT</x:v>
      </x:c>
      <x:c r="S26" s="41" t="n">
        <x:v>32822</x:v>
      </x:c>
      <x:c r="T26" s="42" t="n">
        <x:v>46237</x:v>
      </x:c>
      <x:c r="U26" s="36" t="str">
        <x:v>https://github.com/K-Dense-AI/scientific-agent-skills/blob/main/skills/matlab/SKILL.md</x:v>
      </x:c>
      <x:c r="V26" s="36" t="str">
        <x:v>https://github.com/K-Dense-AI/scientific-agent-skills</x:v>
      </x:c>
    </x:row>
    <x:row r="27" ht="92" customHeight="1">
      <x:c r="A27" s="37" t="n">
        <x:v>23</x:v>
      </x:c>
      <x:c r="B27" s="38" t="str">
        <x:v>05-12 仿真与多目标优化</x:v>
      </x:c>
      <x:c r="C27" s="38" t="str">
        <x:v>SimPy 离散事件仿真</x:v>
      </x:c>
      <x:c r="D27" s="35" t="str">
        <x:v>用事件、进程和资源构建可重复的离散事件模型，并设计有界仿真实验。</x:v>
      </x:c>
      <x:c r="E27" s="35" t="str">
        <x:v>适合学生、教师、科研人员、数据与技术支持人员使用。</x:v>
      </x:c>
      <x:c r="F27" s="35" t="str">
        <x:v>要模拟排队、服务台、生产流程或资源竞争等随事件变化的系统时使用。</x:v>
      </x:c>
      <x:c r="G27" s="35" t="str">
        <x:v>需要准备 SimPy（模拟排队、资源等离散事件的软件）、事件规则、资源数量、时间分布和要比较的运行方案。</x:v>
      </x:c>
      <x:c r="H27" s="35" t="str">
        <x:v>需要注意：模拟结果取决于输入分布与边界；单次运行不能代表稳定规律。</x:v>
      </x:c>
      <x:c r="I27" s="37" t="str">
        <x:v>中</x:v>
      </x:c>
      <x:c r="J27" s="37" t="str">
        <x:v>A｜调整少</x:v>
      </x:c>
      <x:c r="K27" s="35" t="str">
        <x:v>先建立有明确终止条件的小模型，用多次重复运行检查波动，再增加现实细节。</x:v>
      </x:c>
      <x:c r="L27" s="35" t="str">
        <x:v>包内容已核验：已核对用途说明和包内文件；本次未安装、未运行，不能据此判断实际效果。</x:v>
      </x:c>
      <x:c r="M27" s="39" t="str">
        <x:v>simpy</x:v>
      </x:c>
      <x:c r="N27" s="39" t="str">
        <x:v>GH-05-0023</x:v>
      </x:c>
      <x:c r="O27" s="36" t="str">
        <x:v>仿真、离散事件、资源、队列、实验</x:v>
      </x:c>
      <x:c r="P27" s="36" t="str">
        <x:v>Agent Skills（兼容 Codex、Claude Code、Cursor 等）</x:v>
      </x:c>
      <x:c r="Q27" s="36" t="str">
        <x:v>社区 skill、GitHub 开源仓库</x:v>
      </x:c>
      <x:c r="R27" s="39" t="str">
        <x:v>MIT</x:v>
      </x:c>
      <x:c r="S27" s="41" t="n">
        <x:v>32822</x:v>
      </x:c>
      <x:c r="T27" s="42" t="n">
        <x:v>46237</x:v>
      </x:c>
      <x:c r="U27" s="36" t="str">
        <x:v>https://github.com/K-Dense-AI/scientific-agent-skills/blob/main/skills/simpy/SKILL.md</x:v>
      </x:c>
      <x:c r="V27" s="36" t="str">
        <x:v>https://github.com/K-Dense-AI/scientific-agent-skills</x:v>
      </x:c>
    </x:row>
    <x:row r="28" ht="92" customHeight="1">
      <x:c r="A28" s="37" t="n">
        <x:v>24</x:v>
      </x:c>
      <x:c r="B28" s="38" t="str">
        <x:v>05-05 并行计算与性能优化</x:v>
      </x:c>
      <x:c r="C28" s="38" t="str">
        <x:v>Python GPU 性能优化</x:v>
      </x:c>
      <x:c r="D28" s="35" t="str">
        <x:v>先分析性能瓶颈和数据搬运成本，再选择 GPU（适合大量并行计算的图形处理器）库并分阶段优化 Python（常用于数据处理和自动化的编程语言）处理任务。</x:v>
      </x:c>
      <x:c r="E28" s="35" t="str">
        <x:v>适合学生、教师、科研人员、数据与技术支持人员使用。</x:v>
      </x:c>
      <x:c r="F28" s="35" t="str">
        <x:v>Python 计算已经过慢，怀疑处理器、显卡传输或内存是瓶颈时使用。</x:v>
      </x:c>
      <x:c r="G28" s="35" t="str">
        <x:v>需要准备可重复运行的 Python 任务、性能基线、兼容的 GPU 和候选加速软件。</x:v>
      </x:c>
      <x:c r="H28" s="35" t="str">
        <x:v>需要注意：把数据搬到显卡也有成本；并非所有任务都会因 GPU 而加速。</x:v>
      </x:c>
      <x:c r="I28" s="37" t="str">
        <x:v>中</x:v>
      </x:c>
      <x:c r="J28" s="37" t="str">
        <x:v>A｜调整少</x:v>
      </x:c>
      <x:c r="K28" s="35" t="str">
        <x:v>先测量瓶颈，只替换最耗时步骤，并逐阶段比较速度、内存和数值一致性。</x:v>
      </x:c>
      <x:c r="L28" s="35" t="str">
        <x:v>包内容已核验：已核对用途说明和包内文件；本次未安装、未运行，不能据此判断实际效果。</x:v>
      </x:c>
      <x:c r="M28" s="39" t="str">
        <x:v>optimize-for-gpu</x:v>
      </x:c>
      <x:c r="N28" s="39" t="str">
        <x:v>GH-05-0024</x:v>
      </x:c>
      <x:c r="O28" s="36" t="str">
        <x:v>GPU、性能分析、CUDA、向量化、优化</x:v>
      </x:c>
      <x:c r="P28" s="36" t="str">
        <x:v>Agent Skills（兼容 Codex、Claude Code、Cursor 等）</x:v>
      </x:c>
      <x:c r="Q28" s="36" t="str">
        <x:v>社区 skill、GitHub 开源仓库</x:v>
      </x:c>
      <x:c r="R28" s="39" t="str">
        <x:v>MIT</x:v>
      </x:c>
      <x:c r="S28" s="41" t="n">
        <x:v>32822</x:v>
      </x:c>
      <x:c r="T28" s="42" t="n">
        <x:v>46237</x:v>
      </x:c>
      <x:c r="U28" s="36" t="str">
        <x:v>https://github.com/K-Dense-AI/scientific-agent-skills/blob/main/skills/optimize-for-gpu/SKILL.md</x:v>
      </x:c>
      <x:c r="V28" s="36" t="str">
        <x:v>https://github.com/K-Dense-AI/scientific-agent-skills</x:v>
      </x:c>
    </x:row>
    <x:row r="29" ht="92" customHeight="1">
      <x:c r="A29" s="37" t="n">
        <x:v>25</x:v>
      </x:c>
      <x:c r="B29" s="38" t="str">
        <x:v>05-12 仿真与多目标优化</x:v>
      </x:c>
      <x:c r="C29" s="38" t="str">
        <x:v>Pymoo 多目标优化</x:v>
      </x:c>
      <x:c r="D29" s="35" t="str">
        <x:v>定义目标、约束与算法，求解并解释多目标优化中的 Pareto 解集。</x:v>
      </x:c>
      <x:c r="E29" s="35" t="str">
        <x:v>适合学生、教师、科研人员、数据与技术支持人员使用。</x:v>
      </x:c>
      <x:c r="F29" s="35" t="str">
        <x:v>一个方案同时受成本、效果、时间等多个目标约束，需要比较折中选择时使用。</x:v>
      </x:c>
      <x:c r="G29" s="35" t="str">
        <x:v>需要准备 Pymoo（求解多个相互制约目标的软件）、各项目标和约束、允许范围以及评价一个方案的方法。</x:v>
      </x:c>
      <x:c r="H29" s="35" t="str">
        <x:v>需要注意：得到的是一组折中方案而非唯一答案；目标定义不当会误导选择。</x:v>
      </x:c>
      <x:c r="I29" s="37" t="str">
        <x:v>中</x:v>
      </x:c>
      <x:c r="J29" s="37" t="str">
        <x:v>A｜调整少</x:v>
      </x:c>
      <x:c r="K29" s="35" t="str">
        <x:v>先用少量方案验证目标计算，再保存约束、算法设置和最终人工选择理由。</x:v>
      </x:c>
      <x:c r="L29" s="35" t="str">
        <x:v>包内容已核验：已核对用途说明和包内文件；本次未安装、未运行，不能据此判断实际效果。</x:v>
      </x:c>
      <x:c r="M29" s="39" t="str">
        <x:v>pymoo</x:v>
      </x:c>
      <x:c r="N29" s="39" t="str">
        <x:v>GH-05-0025</x:v>
      </x:c>
      <x:c r="O29" s="36" t="str">
        <x:v>多目标优化、Pareto、约束、进化算法</x:v>
      </x:c>
      <x:c r="P29" s="36" t="str">
        <x:v>Agent Skills（兼容 Codex、Claude Code、Cursor 等）</x:v>
      </x:c>
      <x:c r="Q29" s="36" t="str">
        <x:v>社区 skill、GitHub 开源仓库</x:v>
      </x:c>
      <x:c r="R29" s="39" t="str">
        <x:v>MIT</x:v>
      </x:c>
      <x:c r="S29" s="41" t="n">
        <x:v>32822</x:v>
      </x:c>
      <x:c r="T29" s="42" t="n">
        <x:v>46237</x:v>
      </x:c>
      <x:c r="U29" s="36" t="str">
        <x:v>https://github.com/K-Dense-AI/scientific-agent-skills/blob/main/skills/pymoo/SKILL.md</x:v>
      </x:c>
      <x:c r="V29" s="36" t="str">
        <x:v>https://github.com/K-Dense-AI/scientific-agent-skills</x:v>
      </x:c>
    </x:row>
    <x:row r="30" ht="92" customHeight="1">
      <x:c r="A30" s="37" t="n">
        <x:v>26</x:v>
      </x:c>
      <x:c r="B30" s="38" t="str">
        <x:v>05-10 深度学习与大语言模型应用</x:v>
      </x:c>
      <x:c r="C30" s="38" t="str">
        <x:v>PyTorch Lightning 训练工程</x:v>
      </x:c>
      <x:c r="D30" s="35" t="str">
        <x:v>用 LightningModule、Trainer 和 DataModule 组织可复现、可扩展的深度学习训练。</x:v>
      </x:c>
      <x:c r="E30" s="35" t="str">
        <x:v>适合学生、教师、科研人员、数据与技术支持人员使用。</x:v>
      </x:c>
      <x:c r="F30" s="35" t="str">
        <x:v>深度学习项目需要统一训练步骤、记录实验并扩展到多块显卡时使用。</x:v>
      </x:c>
      <x:c r="G30" s="35" t="str">
        <x:v>需要准备 PyTorch Lightning（组织深度学习训练的软件）、训练与验证数据、模型结构、评价指标和计算设备。</x:v>
      </x:c>
      <x:c r="H30" s="35" t="str">
        <x:v>需要注意：封装训练流程不能保证模型有效；多设备结果仍受版本和随机性影响。</x:v>
      </x:c>
      <x:c r="I30" s="37" t="str">
        <x:v>中</x:v>
      </x:c>
      <x:c r="J30" s="37" t="str">
        <x:v>A｜调整少</x:v>
      </x:c>
      <x:c r="K30" s="35" t="str">
        <x:v>先把现有一台电脑上的训练拆成数据、模型和训练配置，验证结果一致后再扩展设备。</x:v>
      </x:c>
      <x:c r="L30" s="35" t="str">
        <x:v>包内容已核验：已核对用途说明和包内文件；本次未安装、未运行，不能据此判断实际效果。</x:v>
      </x:c>
      <x:c r="M30" s="39" t="str">
        <x:v>pytorch-lightning</x:v>
      </x:c>
      <x:c r="N30" s="39" t="str">
        <x:v>GH-05-0026</x:v>
      </x:c>
      <x:c r="O30" s="36" t="str">
        <x:v>深度学习、训练循环、分布式、复现、日志</x:v>
      </x:c>
      <x:c r="P30" s="36" t="str">
        <x:v>Agent Skills（兼容 Codex、Claude Code、Cursor 等）</x:v>
      </x:c>
      <x:c r="Q30" s="36" t="str">
        <x:v>社区 skill、GitHub 开源仓库</x:v>
      </x:c>
      <x:c r="R30" s="39" t="str">
        <x:v>MIT</x:v>
      </x:c>
      <x:c r="S30" s="41" t="n">
        <x:v>32822</x:v>
      </x:c>
      <x:c r="T30" s="42" t="n">
        <x:v>46237</x:v>
      </x:c>
      <x:c r="U30" s="36" t="str">
        <x:v>https://github.com/K-Dense-AI/scientific-agent-skills/blob/main/skills/pytorch-lightning/SKILL.md</x:v>
      </x:c>
      <x:c r="V30" s="36" t="str">
        <x:v>https://github.com/K-Dense-AI/scientific-agent-skills</x:v>
      </x:c>
    </x:row>
    <x:row r="31" ht="92" customHeight="1">
      <x:c r="A31" s="37" t="n">
        <x:v>27</x:v>
      </x:c>
      <x:c r="B31" s="38" t="str">
        <x:v>05-10 深度学习与大语言模型应用</x:v>
      </x:c>
      <x:c r="C31" s="38" t="str">
        <x:v>Transformers 模型应用</x:v>
      </x:c>
      <x:c r="D31" s="35" t="str">
        <x:v>使用 Transformers（使用和调整预训练模型的软件库）完成模型加载、推理、任务流程和受控微调，并处理身份验证与版本差异。</x:v>
      </x:c>
      <x:c r="E31" s="35" t="str">
        <x:v>适合学生、教师、科研人员、数据与技术支持人员使用。</x:v>
      </x:c>
      <x:c r="F31" s="35" t="str">
        <x:v>需要加载预训练模型完成文本分类、生成或其他既定任务，并评估是否要调整模型时使用。</x:v>
      </x:c>
      <x:c r="G31" s="35" t="str">
        <x:v>需要准备 Transformers、可信模型来源、任务数据、评价指标和所需账号授权。</x:v>
      </x:c>
      <x:c r="H31" s="35" t="str">
        <x:v>需要注意：模型版本、授权和数据偏差会影响结果；下载的模型代码必须先审查。</x:v>
      </x:c>
      <x:c r="I31" s="37" t="str">
        <x:v>中</x:v>
      </x:c>
      <x:c r="J31" s="37" t="str">
        <x:v>A｜调整少</x:v>
      </x:c>
      <x:c r="K31" s="35" t="str">
        <x:v>先锁定模型和软件版本，用小样本评估输出与资源消耗，再决定是否受控调整。</x:v>
      </x:c>
      <x:c r="L31" s="35" t="str">
        <x:v>包内容已核验：已核对用途说明和包内文件；本次未安装、未运行，不能据此判断实际效果。</x:v>
      </x:c>
      <x:c r="M31" s="39" t="str">
        <x:v>transformers</x:v>
      </x:c>
      <x:c r="N31" s="39" t="str">
        <x:v>GH-05-0027</x:v>
      </x:c>
      <x:c r="O31" s="36" t="str">
        <x:v>Transformer、NLP、推理、微调、模型仓库</x:v>
      </x:c>
      <x:c r="P31" s="36" t="str">
        <x:v>Agent Skills（兼容 Codex、Claude Code、Cursor 等）</x:v>
      </x:c>
      <x:c r="Q31" s="36" t="str">
        <x:v>社区 skill、GitHub 开源仓库</x:v>
      </x:c>
      <x:c r="R31" s="39" t="str">
        <x:v>MIT</x:v>
      </x:c>
      <x:c r="S31" s="41" t="n">
        <x:v>32822</x:v>
      </x:c>
      <x:c r="T31" s="42" t="n">
        <x:v>46237</x:v>
      </x:c>
      <x:c r="U31" s="36" t="str">
        <x:v>https://github.com/K-Dense-AI/scientific-agent-skills/blob/main/skills/transformers/SKILL.md</x:v>
      </x:c>
      <x:c r="V31" s="36" t="str">
        <x:v>https://github.com/K-Dense-AI/scientific-agent-skills</x:v>
      </x:c>
    </x:row>
    <x:row r="32" ht="92" customHeight="1">
      <x:c r="A32" s="37" t="n">
        <x:v>28</x:v>
      </x:c>
      <x:c r="B32" s="38" t="str">
        <x:v>05-17 调试与错误处理</x:v>
      </x:c>
      <x:c r="C32" s="38" t="str">
        <x:v>系统化调试</x:v>
      </x:c>
      <x:c r="D32" s="35" t="str">
        <x:v>按根因调查、模式分析、假设验证和修复确认四阶段处理软件缺陷。</x:v>
      </x:c>
      <x:c r="E32" s="35" t="str">
        <x:v>适合学生、教师、开发与技术支持人员使用。</x:v>
      </x:c>
      <x:c r="F32" s="35" t="str">
        <x:v>适用于课程项目、科研软件、系统开发中的调试、测试与审查。</x:v>
      </x:c>
      <x:c r="G32" s="35" t="str">
        <x:v>需要准备：代码库、测试工具和修改记录管理环境。</x:v>
      </x:c>
      <x:c r="H32" s="35" t="str">
        <x:v>需要注意：方法会改变开发节奏；不能把流程完成当作功能正确，仍需真实测试证据。</x:v>
      </x:c>
      <x:c r="I32" s="37" t="str">
        <x:v>高</x:v>
      </x:c>
      <x:c r="J32" s="37" t="str">
        <x:v>A｜调整少</x:v>
      </x:c>
      <x:c r="K32" s="35" t="str">
        <x:v>基本可以直接放入现有 AI 工作台使用，但仍需按本校制度和工具设置进行检查。具体建议：可直接采用方法流程；与项目现有测试、修改记录管理和审查规则对齐。</x:v>
      </x:c>
      <x:c r="L32" s="35" t="str">
        <x:v>包内容已核验：已核对用途说明和包内文件；本次未安装、未运行，不能据此判断实际效果。</x:v>
      </x:c>
      <x:c r="M32" s="39" t="str">
        <x:v>systematic-debugging</x:v>
      </x:c>
      <x:c r="N32" s="39" t="str">
        <x:v>GH-05-0028</x:v>
      </x:c>
      <x:c r="O32" s="36" t="str">
        <x:v>调试、根因分析、假设检验、证据</x:v>
      </x:c>
      <x:c r="P32" s="36" t="str">
        <x:v>Agent Skills（兼容 Codex、Claude Code）</x:v>
      </x:c>
      <x:c r="Q32" s="36" t="str">
        <x:v>社区 skill、GitHub 开源仓库</x:v>
      </x:c>
      <x:c r="R32" s="39" t="str">
        <x:v>MIT</x:v>
      </x:c>
      <x:c r="S32" s="41" t="n">
        <x:v>267788</x:v>
      </x:c>
      <x:c r="T32" s="42" t="n">
        <x:v>46240</x:v>
      </x:c>
      <x:c r="U32" s="36" t="str">
        <x:v>https://github.com/obra/superpowers/blob/main/skills/systematic-debugging/SKILL.md</x:v>
      </x:c>
      <x:c r="V32" s="36" t="str">
        <x:v>https://github.com/obra/superpowers</x:v>
      </x:c>
    </x:row>
    <x:row r="33" ht="92" customHeight="1">
      <x:c r="A33" s="37" t="n">
        <x:v>29</x:v>
      </x:c>
      <x:c r="B33" s="38" t="str">
        <x:v>05-18 软件测试</x:v>
      </x:c>
      <x:c r="C33" s="38" t="str">
        <x:v>测试驱动开发</x:v>
      </x:c>
      <x:c r="D33" s="35" t="str">
        <x:v>执行先失败测试、最小实现和重构循环，确保每次行为变更都有可观察证据。</x:v>
      </x:c>
      <x:c r="E33" s="35" t="str">
        <x:v>适合学生、教师、开发与技术支持人员使用。</x:v>
      </x:c>
      <x:c r="F33" s="35" t="str">
        <x:v>适用于课程项目、科研软件、系统开发中的调试、测试与审查。</x:v>
      </x:c>
      <x:c r="G33" s="35" t="str">
        <x:v>需要准备：代码库、测试工具和修改记录管理环境。</x:v>
      </x:c>
      <x:c r="H33" s="35" t="str">
        <x:v>需要注意：方法会改变开发节奏；不能把流程完成当作功能正确，仍需真实测试证据。</x:v>
      </x:c>
      <x:c r="I33" s="37" t="str">
        <x:v>高</x:v>
      </x:c>
      <x:c r="J33" s="37" t="str">
        <x:v>A｜调整少</x:v>
      </x:c>
      <x:c r="K33" s="35" t="str">
        <x:v>基本可以直接放入现有 AI 工作台使用，但仍需按本校制度和工具设置进行检查。具体建议：可直接采用方法流程；与项目现有测试、修改记录管理和审查规则对齐。</x:v>
      </x:c>
      <x:c r="L33" s="35" t="str">
        <x:v>包内容已核验：已核对用途说明和包内文件；本次未安装、未运行，不能据此判断实际效果。</x:v>
      </x:c>
      <x:c r="M33" s="39" t="str">
        <x:v>test-driven-development</x:v>
      </x:c>
      <x:c r="N33" s="39" t="str">
        <x:v>GH-05-0029</x:v>
      </x:c>
      <x:c r="O33" s="36" t="str">
        <x:v>TDD、红绿重构、单元测试、设计</x:v>
      </x:c>
      <x:c r="P33" s="36" t="str">
        <x:v>Agent Skills（兼容 Codex、Claude Code）</x:v>
      </x:c>
      <x:c r="Q33" s="36" t="str">
        <x:v>社区 skill、GitHub 开源仓库</x:v>
      </x:c>
      <x:c r="R33" s="39" t="str">
        <x:v>MIT</x:v>
      </x:c>
      <x:c r="S33" s="41" t="n">
        <x:v>267788</x:v>
      </x:c>
      <x:c r="T33" s="42" t="n">
        <x:v>46240</x:v>
      </x:c>
      <x:c r="U33" s="36" t="str">
        <x:v>https://github.com/obra/superpowers/blob/main/skills/test-driven-development/SKILL.md</x:v>
      </x:c>
      <x:c r="V33" s="36" t="str">
        <x:v>https://github.com/obra/superpowers</x:v>
      </x:c>
    </x:row>
    <x:row r="34" ht="92" customHeight="1">
      <x:c r="A34" s="37" t="n">
        <x:v>30</x:v>
      </x:c>
      <x:c r="B34" s="38" t="str">
        <x:v>05-19 代码审查、代码规范与项目结构</x:v>
      </x:c>
      <x:c r="C34" s="38" t="str">
        <x:v>发起代码审查</x:v>
      </x:c>
      <x:c r="D34" s="35" t="str">
        <x:v>在关键节点整理变更范围、验证证据和审查重点，发起可执行的代码审查。</x:v>
      </x:c>
      <x:c r="E34" s="35" t="str">
        <x:v>适合学生、教师、开发与技术支持人员使用。</x:v>
      </x:c>
      <x:c r="F34" s="35" t="str">
        <x:v>适用于课程项目、科研软件、系统开发中的调试、测试与审查。</x:v>
      </x:c>
      <x:c r="G34" s="35" t="str">
        <x:v>需要准备：代码库、测试工具和修改记录管理环境。</x:v>
      </x:c>
      <x:c r="H34" s="35" t="str">
        <x:v>需要注意：方法会改变开发节奏；不能把流程完成当作功能正确，仍需真实测试证据。</x:v>
      </x:c>
      <x:c r="I34" s="37" t="str">
        <x:v>中</x:v>
      </x:c>
      <x:c r="J34" s="37" t="str">
        <x:v>A｜调整少</x:v>
      </x:c>
      <x:c r="K34" s="35" t="str">
        <x:v>基本可以直接放入现有 AI 工作台使用，但仍需按本校制度和工具设置进行检查。具体建议：可直接采用方法流程；与项目现有测试、修改记录管理和审查规则对齐。</x:v>
      </x:c>
      <x:c r="L34" s="35" t="str">
        <x:v>包内容已核验：已核对用途说明和包内文件；本次未安装、未运行，不能据此判断实际效果。</x:v>
      </x:c>
      <x:c r="M34" s="39" t="str">
        <x:v>requesting-code-review</x:v>
      </x:c>
      <x:c r="N34" s="39" t="str">
        <x:v>GH-05-0030</x:v>
      </x:c>
      <x:c r="O34" s="36" t="str">
        <x:v>代码审查、变更范围、审查请求、质量门</x:v>
      </x:c>
      <x:c r="P34" s="36" t="str">
        <x:v>Agent Skills（兼容 Codex、Claude Code）</x:v>
      </x:c>
      <x:c r="Q34" s="36" t="str">
        <x:v>社区 skill、GitHub 开源仓库</x:v>
      </x:c>
      <x:c r="R34" s="39" t="str">
        <x:v>MIT</x:v>
      </x:c>
      <x:c r="S34" s="41" t="n">
        <x:v>267788</x:v>
      </x:c>
      <x:c r="T34" s="42" t="n">
        <x:v>46240</x:v>
      </x:c>
      <x:c r="U34" s="36" t="str">
        <x:v>https://github.com/obra/superpowers/blob/main/skills/requesting-code-review/SKILL.md</x:v>
      </x:c>
      <x:c r="V34" s="36" t="str">
        <x:v>https://github.com/obra/superpowers</x:v>
      </x:c>
    </x:row>
    <x:row r="35" ht="92" customHeight="1">
      <x:c r="A35" s="37" t="n">
        <x:v>31</x:v>
      </x:c>
      <x:c r="B35" s="38" t="str">
        <x:v>05-19 代码审查、代码规范与项目结构</x:v>
      </x:c>
      <x:c r="C35" s="38" t="str">
        <x:v>处理代码审查反馈</x:v>
      </x:c>
      <x:c r="D35" s="35" t="str">
        <x:v>先理解和验证审查意见，再按技术证据实施，妥善处理含糊或不适用建议。</x:v>
      </x:c>
      <x:c r="E35" s="35" t="str">
        <x:v>适合学生、教师、开发与技术支持人员使用。</x:v>
      </x:c>
      <x:c r="F35" s="35" t="str">
        <x:v>适用于课程项目、科研软件、系统开发中的调试、测试与审查。</x:v>
      </x:c>
      <x:c r="G35" s="35" t="str">
        <x:v>需要准备：代码库、测试工具和修改记录管理环境。</x:v>
      </x:c>
      <x:c r="H35" s="35" t="str">
        <x:v>需要注意：方法会改变开发节奏；不能把流程完成当作功能正确，仍需真实测试证据。</x:v>
      </x:c>
      <x:c r="I35" s="37" t="str">
        <x:v>中</x:v>
      </x:c>
      <x:c r="J35" s="37" t="str">
        <x:v>A｜调整少</x:v>
      </x:c>
      <x:c r="K35" s="35" t="str">
        <x:v>基本可以直接放入现有 AI 工作台使用，但仍需按本校制度和工具设置进行检查。具体建议：可直接采用方法流程；与项目现有测试、修改记录管理和审查规则对齐。</x:v>
      </x:c>
      <x:c r="L35" s="35" t="str">
        <x:v>说明已核验：已核对用途与使用说明；本次未安装、未运行，不能据此判断实际效果。</x:v>
      </x:c>
      <x:c r="M35" s="39" t="str">
        <x:v>receiving-code-review</x:v>
      </x:c>
      <x:c r="N35" s="39" t="str">
        <x:v>GH-05-0031</x:v>
      </x:c>
      <x:c r="O35" s="36" t="str">
        <x:v>代码审查、反馈验证、技术判断、沟通</x:v>
      </x:c>
      <x:c r="P35" s="36" t="str">
        <x:v>Agent Skills（兼容 Codex、Claude Code）</x:v>
      </x:c>
      <x:c r="Q35" s="36" t="str">
        <x:v>社区 skill、GitHub 开源仓库</x:v>
      </x:c>
      <x:c r="R35" s="39" t="str">
        <x:v>MIT</x:v>
      </x:c>
      <x:c r="S35" s="41" t="n">
        <x:v>267788</x:v>
      </x:c>
      <x:c r="T35" s="42" t="n">
        <x:v>46240</x:v>
      </x:c>
      <x:c r="U35" s="36" t="str">
        <x:v>https://github.com/obra/superpowers/blob/main/skills/receiving-code-review/SKILL.md</x:v>
      </x:c>
      <x:c r="V35" s="36" t="str">
        <x:v>https://github.com/obra/superpowers</x:v>
      </x:c>
    </x:row>
    <x:row r="36" ht="92" customHeight="1">
      <x:c r="A36" s="37" t="n">
        <x:v>32</x:v>
      </x:c>
      <x:c r="B36" s="38" t="str">
        <x:v>05-16 数据故事与分析结果表达</x:v>
      </x:c>
      <x:c r="C36" s="38" t="str">
        <x:v>数据叙事与洞察表达</x:v>
      </x:c>
      <x:c r="D36" s="35" t="str">
        <x:v>把分析结论组织为面向特定受众的背景、冲突、洞察和行动建议。</x:v>
      </x:c>
      <x:c r="E36" s="35" t="str">
        <x:v>适合学生、教师、数据工程与开发人员使用。</x:v>
      </x:c>
      <x:c r="F36" s="35" t="str">
        <x:v>分析已经完成，但需要把发现讲给管理者、教师或其他特定读者并推动行动时使用。</x:v>
      </x:c>
      <x:c r="G36" s="35" t="str">
        <x:v>需要准备可靠分析结果、目标读者、沟通目的和能够支撑结论的图表。</x:v>
      </x:c>
      <x:c r="H36" s="35" t="str">
        <x:v>需要注意：故事结构不能掩盖不确定性，也不能把相关关系写成因果结论。</x:v>
      </x:c>
      <x:c r="I36" s="37" t="str">
        <x:v>高</x:v>
      </x:c>
      <x:c r="J36" s="37" t="str">
        <x:v>B｜少量调整</x:v>
      </x:c>
      <x:c r="K36" s="35" t="str">
        <x:v>把背景、冲突、洞察和建议写入报告提纲，并让数据负责人核对每项主张。</x:v>
      </x:c>
      <x:c r="L36" s="35" t="str">
        <x:v>包内容已核验：已核对用途说明和包内文件；本次未安装、未运行，不能据此判断实际效果。</x:v>
      </x:c>
      <x:c r="M36" s="39" t="str">
        <x:v>data-storytelling</x:v>
      </x:c>
      <x:c r="N36" s="39" t="str">
        <x:v>GH-05-0032</x:v>
      </x:c>
      <x:c r="O36" s="36" t="str">
        <x:v>数据故事、受众、叙事结构、图表、建议</x:v>
      </x:c>
      <x:c r="P36" s="36" t="str">
        <x:v>多智能体生态（Codex、Claude Code、Cursor、Gemini CLI 等）</x:v>
      </x:c>
      <x:c r="Q36" s="36" t="str">
        <x:v>社区 skill、GitHub 开源仓库</x:v>
      </x:c>
      <x:c r="R36" s="39" t="str">
        <x:v>MIT</x:v>
      </x:c>
      <x:c r="S36" s="41" t="n">
        <x:v>38534</x:v>
      </x:c>
      <x:c r="T36" s="42" t="n">
        <x:v>46239</x:v>
      </x:c>
      <x:c r="U36" s="36" t="str">
        <x:v>https://github.com/wshobson/agents/blob/main/plugins/business-analytics/skills/data-storytelling/SKILL.md</x:v>
      </x:c>
      <x:c r="V36" s="36" t="str">
        <x:v>https://github.com/wshobson/agents</x:v>
      </x:c>
    </x:row>
    <x:row r="37" ht="92" customHeight="1">
      <x:c r="A37" s="37" t="n">
        <x:v>33</x:v>
      </x:c>
      <x:c r="B37" s="38" t="str">
        <x:v>05-04 数据存储、数据库与查询优化</x:v>
      </x:c>
      <x:c r="C37" s="38" t="str">
        <x:v>PostgreSQL 表结构设计</x:v>
      </x:c>
      <x:c r="D37" s="35" t="str">
        <x:v>依据 PostgreSQL（开源关系型数据库软件）特性设计数据类型、约束、索引（帮助快速查找资料或数据的检索结构）、表类别和行级安全。</x:v>
      </x:c>
      <x:c r="E37" s="35" t="str">
        <x:v>适合学生、教师、数据工程与开发人员使用。</x:v>
      </x:c>
      <x:c r="F37" s="35" t="str">
        <x:v>新建或修改 PostgreSQL 数据表，需要确定字段、约束、索引和访问规则时使用。</x:v>
      </x:c>
      <x:c r="G37" s="35" t="str">
        <x:v>需要准备业务字段说明、数据量、查询方式、保留期限和访问规则。</x:v>
      </x:c>
      <x:c r="H37" s="35" t="str">
        <x:v>需要注意：表结构变更可能锁表或丢数据；迁移方案必须先备份并验证回退。</x:v>
      </x:c>
      <x:c r="I37" s="37" t="str">
        <x:v>中</x:v>
      </x:c>
      <x:c r="J37" s="37" t="str">
        <x:v>B｜少量调整</x:v>
      </x:c>
      <x:c r="K37" s="35" t="str">
        <x:v>先在测试库建立表结构和样例数据，检查查询与权限后再安排正式迁移。</x:v>
      </x:c>
      <x:c r="L37" s="35" t="str">
        <x:v>说明已核验：已核对用途与使用说明；本次未安装、未运行，不能据此判断实际效果。</x:v>
      </x:c>
      <x:c r="M37" s="39" t="str">
        <x:v>postgresql</x:v>
      </x:c>
      <x:c r="N37" s="39" t="str">
        <x:v>GH-05-0033</x:v>
      </x:c>
      <x:c r="O37" s="36" t="str">
        <x:v>PostgreSQL、数据类型、约束、索引、RLS</x:v>
      </x:c>
      <x:c r="P37" s="36" t="str">
        <x:v>多智能体生态（Codex、Claude Code、Cursor、Gemini CLI 等）</x:v>
      </x:c>
      <x:c r="Q37" s="36" t="str">
        <x:v>社区 skill、GitHub 开源仓库</x:v>
      </x:c>
      <x:c r="R37" s="39" t="str">
        <x:v>MIT</x:v>
      </x:c>
      <x:c r="S37" s="41" t="n">
        <x:v>38534</x:v>
      </x:c>
      <x:c r="T37" s="42" t="n">
        <x:v>46239</x:v>
      </x:c>
      <x:c r="U37" s="36" t="str">
        <x:v>https://github.com/wshobson/agents/blob/main/plugins/database-design/skills/postgresql/SKILL.md</x:v>
      </x:c>
      <x:c r="V37" s="36" t="str">
        <x:v>https://github.com/wshobson/agents</x:v>
      </x:c>
    </x:row>
    <x:row r="38" ht="92" customHeight="1">
      <x:c r="A38" s="37" t="n">
        <x:v>34</x:v>
      </x:c>
      <x:c r="B38" s="38" t="str">
        <x:v>05-02 数据检查、清理与质量控制</x:v>
      </x:c>
      <x:c r="C38" s="38" t="str">
        <x:v>数据质量框架</x:v>
      </x:c>
      <x:c r="D38" s="35" t="str">
        <x:v>按准确性、完整性、一致性等维度设计数据质量规则、测试层级和监控。</x:v>
      </x:c>
      <x:c r="E38" s="35" t="str">
        <x:v>适合学生、教师、数据工程与开发人员使用。</x:v>
      </x:c>
      <x:c r="F38" s="35" t="str">
        <x:v>数据平台频繁出现缺失、重复或口径不一致，需要建立持续质量检查时使用。</x:v>
      </x:c>
      <x:c r="G38" s="35" t="str">
        <x:v>需要准备关键数据表、字段口径、可接受范围、责任人和检查频率。</x:v>
      </x:c>
      <x:c r="H38" s="35" t="str">
        <x:v>需要注意：质量阈值过严会产生大量误报；规则通过也不代表数据适合所有用途。</x:v>
      </x:c>
      <x:c r="I38" s="37" t="str">
        <x:v>中</x:v>
      </x:c>
      <x:c r="J38" s="37" t="str">
        <x:v>B｜少量调整</x:v>
      </x:c>
      <x:c r="K38" s="35" t="str">
        <x:v>先为少数关键字段建立准确性和完整性规则，再接入告警与责任人处理流程。</x:v>
      </x:c>
      <x:c r="L38" s="35" t="str">
        <x:v>包内容已核验：已核对用途说明和包内文件；本次未安装、未运行，不能据此判断实际效果。</x:v>
      </x:c>
      <x:c r="M38" s="39" t="str">
        <x:v>data-quality-frameworks</x:v>
      </x:c>
      <x:c r="N38" s="39" t="str">
        <x:v>GH-05-0034</x:v>
      </x:c>
      <x:c r="O38" s="36" t="str">
        <x:v>数据质量、测试金字塔、校验、可观测性</x:v>
      </x:c>
      <x:c r="P38" s="36" t="str">
        <x:v>多智能体生态（Codex、Claude Code、Cursor、Gemini CLI 等）</x:v>
      </x:c>
      <x:c r="Q38" s="36" t="str">
        <x:v>社区 skill、GitHub 开源仓库</x:v>
      </x:c>
      <x:c r="R38" s="39" t="str">
        <x:v>MIT</x:v>
      </x:c>
      <x:c r="S38" s="41" t="n">
        <x:v>38534</x:v>
      </x:c>
      <x:c r="T38" s="42" t="n">
        <x:v>46239</x:v>
      </x:c>
      <x:c r="U38" s="36" t="str">
        <x:v>https://github.com/wshobson/agents/blob/main/plugins/data-engineering/skills/data-quality-frameworks/SKILL.md</x:v>
      </x:c>
      <x:c r="V38" s="36" t="str">
        <x:v>https://github.com/wshobson/agents</x:v>
      </x:c>
    </x:row>
    <x:row r="39" ht="92" customHeight="1">
      <x:c r="A39" s="37" t="n">
        <x:v>35</x:v>
      </x:c>
      <x:c r="B39" s="38" t="str">
        <x:v>05-04 数据存储、数据库与查询优化</x:v>
      </x:c>
      <x:c r="C39" s="38" t="str">
        <x:v>dbt 数据转换模式</x:v>
      </x:c>
      <x:c r="D39" s="35" t="str">
        <x:v>使用分层模型、命名、测试和文档惯例组织可维护的 dbt（组织和检查数据转换流程的工具）转换项目。</x:v>
      </x:c>
      <x:c r="E39" s="35" t="str">
        <x:v>适合学生、教师、数据工程与开发人员使用。</x:v>
      </x:c>
      <x:c r="F39" s="35" t="str">
        <x:v>数据库转换项目层次混乱，需要统一 dbt 模型分层、命名、测试和文档时使用。</x:v>
      </x:c>
      <x:c r="G39" s="35" t="str">
        <x:v>需要准备 dbt 项目、数据来源、目标数据表、命名约定和可用数据库连接。</x:v>
      </x:c>
      <x:c r="H39" s="35" t="str">
        <x:v>需要注意：分层过多会增加维护成本；转换正确性仍要用业务数据和测试确认。</x:v>
      </x:c>
      <x:c r="I39" s="37" t="str">
        <x:v>中</x:v>
      </x:c>
      <x:c r="J39" s="37" t="str">
        <x:v>B｜少量调整</x:v>
      </x:c>
      <x:c r="K39" s="35" t="str">
        <x:v>先选择一条数据链按分层规范改造，补齐字段说明与测试后再推广到其他模型。</x:v>
      </x:c>
      <x:c r="L39" s="35" t="str">
        <x:v>包内容已核验：已核对用途说明和包内文件；本次未安装、未运行，不能据此判断实际效果。</x:v>
      </x:c>
      <x:c r="M39" s="39" t="str">
        <x:v>dbt-transformation-patterns</x:v>
      </x:c>
      <x:c r="N39" s="39" t="str">
        <x:v>GH-05-0035</x:v>
      </x:c>
      <x:c r="O39" s="36" t="str">
        <x:v>dbt、分层建模、测试、文档、血缘</x:v>
      </x:c>
      <x:c r="P39" s="36" t="str">
        <x:v>多智能体生态（Codex、Claude Code、Cursor、Gemini CLI 等）</x:v>
      </x:c>
      <x:c r="Q39" s="36" t="str">
        <x:v>社区 skill、GitHub 开源仓库</x:v>
      </x:c>
      <x:c r="R39" s="39" t="str">
        <x:v>MIT</x:v>
      </x:c>
      <x:c r="S39" s="41" t="n">
        <x:v>38534</x:v>
      </x:c>
      <x:c r="T39" s="42" t="n">
        <x:v>46239</x:v>
      </x:c>
      <x:c r="U39" s="36" t="str">
        <x:v>https://github.com/wshobson/agents/blob/main/plugins/data-engineering/skills/dbt-transformation-patterns/SKILL.md</x:v>
      </x:c>
      <x:c r="V39" s="36" t="str">
        <x:v>https://github.com/wshobson/agents</x:v>
      </x:c>
    </x:row>
    <x:row r="40" ht="92" customHeight="1">
      <x:c r="A40" s="37" t="n">
        <x:v>36</x:v>
      </x:c>
      <x:c r="B40" s="38" t="str">
        <x:v>05-05 并行计算与性能优化</x:v>
      </x:c>
      <x:c r="C40" s="38" t="str">
        <x:v>Apache Spark 性能优化</x:v>
      </x:c>
      <x:c r="D40" s="35" t="str">
        <x:v>通过执行计划、分区、连接策略和资源配置诊断并优化 Spark（把大数据任务分散处理的软件）作业。</x:v>
      </x:c>
      <x:c r="E40" s="35" t="str">
        <x:v>适合学生、教师、数据工程与开发人员使用。</x:v>
      </x:c>
      <x:c r="F40" s="35" t="str">
        <x:v>Spark 作业运行缓慢或资源浪费，需要检查分区、数据连接和执行计划时使用。</x:v>
      </x:c>
      <x:c r="G40" s="35" t="str">
        <x:v>需要准备 Spark 作业代码、执行计划、数据规模、集群资源和性能基线。</x:v>
      </x:c>
      <x:c r="H40" s="35" t="str">
        <x:v>需要注意：一种分区或连接策略不适合所有数据；优化必须在真实规模下复测。</x:v>
      </x:c>
      <x:c r="I40" s="37" t="str">
        <x:v>中</x:v>
      </x:c>
      <x:c r="J40" s="37" t="str">
        <x:v>B｜少量调整</x:v>
      </x:c>
      <x:c r="K40" s="35" t="str">
        <x:v>先记录现有作业时间和资源，再一次只改变一项设置并比较执行计划。</x:v>
      </x:c>
      <x:c r="L40" s="35" t="str">
        <x:v>包内容已核验：已核对用途说明和包内文件；本次未安装、未运行，不能据此判断实际效果。</x:v>
      </x:c>
      <x:c r="M40" s="39" t="str">
        <x:v>spark-optimization</x:v>
      </x:c>
      <x:c r="N40" s="39" t="str">
        <x:v>GH-05-0036</x:v>
      </x:c>
      <x:c r="O40" s="36" t="str">
        <x:v>Spark、执行计划、分区、缓存、性能</x:v>
      </x:c>
      <x:c r="P40" s="36" t="str">
        <x:v>多智能体生态（Codex、Claude Code、Cursor、Gemini CLI 等）</x:v>
      </x:c>
      <x:c r="Q40" s="36" t="str">
        <x:v>社区 skill、GitHub 开源仓库</x:v>
      </x:c>
      <x:c r="R40" s="39" t="str">
        <x:v>MIT</x:v>
      </x:c>
      <x:c r="S40" s="41" t="n">
        <x:v>38534</x:v>
      </x:c>
      <x:c r="T40" s="42" t="n">
        <x:v>46239</x:v>
      </x:c>
      <x:c r="U40" s="36" t="str">
        <x:v>https://github.com/wshobson/agents/blob/main/plugins/data-engineering/skills/spark-optimization/SKILL.md</x:v>
      </x:c>
      <x:c r="V40" s="36" t="str">
        <x:v>https://github.com/wshobson/agents</x:v>
      </x:c>
    </x:row>
    <x:row r="41" ht="92" customHeight="1">
      <x:c r="A41" s="37" t="n">
        <x:v>37</x:v>
      </x:c>
      <x:c r="B41" s="38" t="str">
        <x:v>05-04 数据存储、数据库与查询优化</x:v>
      </x:c>
      <x:c r="C41" s="38" t="str">
        <x:v>SQL 查询优化</x:v>
      </x:c>
      <x:c r="D41" s="35" t="str">
        <x:v>读取执行计划并应用索引（帮助快速查找资料或数据的检索结构）、连接、过滤和重写模式优化 SQL（查询和管理数据库的语言）查询。</x:v>
      </x:c>
      <x:c r="E41" s="35" t="str">
        <x:v>适合学生、教师、数据工程与开发人员使用。</x:v>
      </x:c>
      <x:c r="F41" s="35" t="str">
        <x:v>数据库查询响应过慢，需要找出扫描、连接或过滤环节的问题时使用。</x:v>
      </x:c>
      <x:c r="G41" s="35" t="str">
        <x:v>需要准备 SQL 查询、表结构、索引、执行计划和具有代表性的数据量。</x:v>
      </x:c>
      <x:c r="H41" s="35" t="str">
        <x:v>需要注意：新增索引会增加写入和存储成本；测试数据过小可能看不出真实效果。</x:v>
      </x:c>
      <x:c r="I41" s="37" t="str">
        <x:v>中</x:v>
      </x:c>
      <x:c r="J41" s="37" t="str">
        <x:v>B｜少量调整</x:v>
      </x:c>
      <x:c r="K41" s="35" t="str">
        <x:v>先在测试环境保存原执行计划，逐项尝试索引或查询改写并核对结果一致。</x:v>
      </x:c>
      <x:c r="L41" s="35" t="str">
        <x:v>包内容已核验：已核对用途说明和包内文件；本次未安装、未运行，不能据此判断实际效果。</x:v>
      </x:c>
      <x:c r="M41" s="39" t="str">
        <x:v>sql-optimization-patterns</x:v>
      </x:c>
      <x:c r="N41" s="39" t="str">
        <x:v>GH-05-0037</x:v>
      </x:c>
      <x:c r="O41" s="36" t="str">
        <x:v>SQL、执行计划、索引、连接、性能</x:v>
      </x:c>
      <x:c r="P41" s="36" t="str">
        <x:v>多智能体生态（Codex、Claude Code、Cursor、Gemini CLI 等）</x:v>
      </x:c>
      <x:c r="Q41" s="36" t="str">
        <x:v>社区 skill、GitHub 开源仓库</x:v>
      </x:c>
      <x:c r="R41" s="39" t="str">
        <x:v>MIT</x:v>
      </x:c>
      <x:c r="S41" s="41" t="n">
        <x:v>38534</x:v>
      </x:c>
      <x:c r="T41" s="42" t="n">
        <x:v>46239</x:v>
      </x:c>
      <x:c r="U41" s="36" t="str">
        <x:v>https://github.com/wshobson/agents/blob/main/plugins/developer-essentials/skills/sql-optimization-patterns/SKILL.md</x:v>
      </x:c>
      <x:c r="V41" s="36" t="str">
        <x:v>https://github.com/wshobson/agents</x:v>
      </x:c>
    </x:row>
    <x:row r="42" ht="92" customHeight="1">
      <x:c r="A42" s="37" t="n">
        <x:v>38</x:v>
      </x:c>
      <x:c r="B42" s="38" t="str">
        <x:v>05-20 数据处理流程与机器学习工程</x:v>
      </x:c>
      <x:c r="C42" s="38" t="str">
        <x:v>机器学习管道工作流</x:v>
      </x:c>
      <x:c r="D42" s="35" t="str">
        <x:v>规划机器学习从检查数据、准备特征、训练、评估到发布和持续观察的完整流程。</x:v>
      </x:c>
      <x:c r="E42" s="35" t="str">
        <x:v>适合学生、教师、数据工程与开发人员使用。</x:v>
      </x:c>
      <x:c r="F42" s="35" t="str">
        <x:v>机器学习项目从数据准备到发布由多人接力，需要统一步骤和质量检查时使用。</x:v>
      </x:c>
      <x:c r="G42" s="35" t="str">
        <x:v>需要准备数据来源、特征说明、训练代码、评价标准、发布环境和负责人。</x:v>
      </x:c>
      <x:c r="H42" s="35" t="str">
        <x:v>需要注意：流程自动化不能消除数据漂移或模型失效；每个阶段仍需明确批准条件。</x:v>
      </x:c>
      <x:c r="I42" s="37" t="str">
        <x:v>中</x:v>
      </x:c>
      <x:c r="J42" s="37" t="str">
        <x:v>B｜少量调整</x:v>
      </x:c>
      <x:c r="K42" s="35" t="str">
        <x:v>先把现有项目画成阶段流程，逐步加入数据检查、模型评估和发布记录。</x:v>
      </x:c>
      <x:c r="L42" s="35" t="str">
        <x:v>说明已核验：已核对用途与使用说明；本次未安装、未运行，不能据此判断实际效果。</x:v>
      </x:c>
      <x:c r="M42" s="39" t="str">
        <x:v>ml-pipeline-workflow</x:v>
      </x:c>
      <x:c r="N42" s="39" t="str">
        <x:v>GH-05-0038</x:v>
      </x:c>
      <x:c r="O42" s="36" t="str">
        <x:v>MLOps、训练管道、评估、部署、监控</x:v>
      </x:c>
      <x:c r="P42" s="36" t="str">
        <x:v>多智能体生态（Codex、Claude Code、Cursor、Gemini CLI 等）</x:v>
      </x:c>
      <x:c r="Q42" s="36" t="str">
        <x:v>社区 skill、GitHub 开源仓库</x:v>
      </x:c>
      <x:c r="R42" s="39" t="str">
        <x:v>MIT</x:v>
      </x:c>
      <x:c r="S42" s="41" t="n">
        <x:v>38534</x:v>
      </x:c>
      <x:c r="T42" s="42" t="n">
        <x:v>46239</x:v>
      </x:c>
      <x:c r="U42" s="36" t="str">
        <x:v>https://github.com/wshobson/agents/blob/main/plugins/machine-learning-ops/skills/ml-pipeline-workflow/SKILL.md</x:v>
      </x:c>
      <x:c r="V42" s="36" t="str">
        <x:v>https://github.com/wshobson/agents</x:v>
      </x:c>
    </x:row>
    <x:row r="43" ht="92" customHeight="1">
      <x:c r="A43" s="37" t="n">
        <x:v>39</x:v>
      </x:c>
      <x:c r="B43" s="38" t="str">
        <x:v>05-18 软件测试</x:v>
      </x:c>
      <x:c r="C43" s="38" t="str">
        <x:v>Python 测试模式</x:v>
      </x:c>
      <x:c r="D43" s="35" t="str">
        <x:v>用测试层级、AAA（准备、执行、检查结果的测试写法）结构、夹具、模拟和隔离策略构建 Python（常用于数据处理和自动化的编程语言）测试体系。</x:v>
      </x:c>
      <x:c r="E43" s="35" t="str">
        <x:v>适合学生、教师、数据工程与开发人员使用。</x:v>
      </x:c>
      <x:c r="F43" s="35" t="str">
        <x:v>Python 项目缺少一致测试，需要覆盖单个函数、组件协作和完整使用流程时使用。</x:v>
      </x:c>
      <x:c r="G43" s="35" t="str">
        <x:v>需要准备待测代码、预期行为、测试数据和项目现有测试工具。</x:v>
      </x:c>
      <x:c r="H43" s="35" t="str">
        <x:v>需要注意：过度模拟会让测试脱离真实行为；测试通过也不能证明没有遗漏。</x:v>
      </x:c>
      <x:c r="I43" s="37" t="str">
        <x:v>高</x:v>
      </x:c>
      <x:c r="J43" s="37" t="str">
        <x:v>B｜少量调整</x:v>
      </x:c>
      <x:c r="K43" s="35" t="str">
        <x:v>先沿用现有测试目录和运行命令，从关键失败场景开始增加可重复测试。</x:v>
      </x:c>
      <x:c r="L43" s="35" t="str">
        <x:v>包内容已核验：已核对用途说明和包内文件；本次未安装、未运行，不能据此判断实际效果。</x:v>
      </x:c>
      <x:c r="M43" s="39" t="str">
        <x:v>python-testing-patterns</x:v>
      </x:c>
      <x:c r="N43" s="39" t="str">
        <x:v>GH-05-0039</x:v>
      </x:c>
      <x:c r="O43" s="36" t="str">
        <x:v>pytest、单元测试、集成测试、隔离、覆盖率</x:v>
      </x:c>
      <x:c r="P43" s="36" t="str">
        <x:v>多智能体生态（Codex、Claude Code、Cursor、Gemini CLI 等）</x:v>
      </x:c>
      <x:c r="Q43" s="36" t="str">
        <x:v>社区 skill、GitHub 开源仓库</x:v>
      </x:c>
      <x:c r="R43" s="39" t="str">
        <x:v>MIT</x:v>
      </x:c>
      <x:c r="S43" s="41" t="n">
        <x:v>38534</x:v>
      </x:c>
      <x:c r="T43" s="42" t="n">
        <x:v>46239</x:v>
      </x:c>
      <x:c r="U43" s="36" t="str">
        <x:v>https://github.com/wshobson/agents/blob/main/plugins/python-development/skills/python-testing-patterns/SKILL.md</x:v>
      </x:c>
      <x:c r="V43" s="36" t="str">
        <x:v>https://github.com/wshobson/agents</x:v>
      </x:c>
    </x:row>
    <x:row r="44" ht="92" customHeight="1">
      <x:c r="A44" s="37" t="n">
        <x:v>40</x:v>
      </x:c>
      <x:c r="B44" s="38" t="str">
        <x:v>05-19 代码审查、代码规范与项目结构</x:v>
      </x:c>
      <x:c r="C44" s="38" t="str">
        <x:v>Python 代码风格与文档</x:v>
      </x:c>
      <x:c r="D44" s="35" t="str">
        <x:v>统一 Python（常用于数据处理和自动化的编程语言）格式化、命名、类型标注、文档字符串和自动检查。</x:v>
      </x:c>
      <x:c r="E44" s="35" t="str">
        <x:v>适合学生、教师、数据工程与开发人员使用。</x:v>
      </x:c>
      <x:c r="F44" s="35" t="str">
        <x:v>多人维护 Python 项目，需要统一格式、命名、类型说明和代码文档时使用。</x:v>
      </x:c>
      <x:c r="G44" s="35" t="str">
        <x:v>需要准备现有代码、团队命名约定、支持版本和自动检查工具。</x:v>
      </x:c>
      <x:c r="H44" s="35" t="str">
        <x:v>需要注意：统一格式不能代替清晰设计；一次性改动过多会增加审查困难。</x:v>
      </x:c>
      <x:c r="I44" s="37" t="str">
        <x:v>中</x:v>
      </x:c>
      <x:c r="J44" s="37" t="str">
        <x:v>B｜少量调整</x:v>
      </x:c>
      <x:c r="K44" s="35" t="str">
        <x:v>先确定最小代码规范并对新增代码执行，再分批整理旧代码和补充文档。</x:v>
      </x:c>
      <x:c r="L44" s="35" t="str">
        <x:v>说明已核验：已核对用途与使用说明；本次未安装、未运行，不能据此判断实际效果。</x:v>
      </x:c>
      <x:c r="M44" s="39" t="str">
        <x:v>python-code-style</x:v>
      </x:c>
      <x:c r="N44" s="39" t="str">
        <x:v>GH-05-0040</x:v>
      </x:c>
      <x:c r="O44" s="36" t="str">
        <x:v>Python、格式化、类型标注、文档、命名</x:v>
      </x:c>
      <x:c r="P44" s="36" t="str">
        <x:v>多智能体生态（Codex、Claude Code、Cursor、Gemini CLI 等）</x:v>
      </x:c>
      <x:c r="Q44" s="36" t="str">
        <x:v>社区 skill、GitHub 开源仓库</x:v>
      </x:c>
      <x:c r="R44" s="39" t="str">
        <x:v>MIT</x:v>
      </x:c>
      <x:c r="S44" s="41" t="n">
        <x:v>38534</x:v>
      </x:c>
      <x:c r="T44" s="42" t="n">
        <x:v>46239</x:v>
      </x:c>
      <x:c r="U44" s="36" t="str">
        <x:v>https://github.com/wshobson/agents/blob/main/plugins/python-development/skills/python-code-style/SKILL.md</x:v>
      </x:c>
      <x:c r="V44" s="36" t="str">
        <x:v>https://github.com/wshobson/agents</x:v>
      </x:c>
    </x:row>
    <x:row r="45" ht="92" customHeight="1">
      <x:c r="A45" s="37" t="n">
        <x:v>41</x:v>
      </x:c>
      <x:c r="B45" s="38" t="str">
        <x:v>05-17 调试与错误处理</x:v>
      </x:c>
      <x:c r="C45" s="38" t="str">
        <x:v>Python 错误处理</x:v>
      </x:c>
      <x:c r="D45" s="35" t="str">
        <x:v>设计明确异常类型、上下文保留、部分失败和恢复策略，避免吞错。</x:v>
      </x:c>
      <x:c r="E45" s="35" t="str">
        <x:v>适合学生、教师、数据工程与开发人员使用。</x:v>
      </x:c>
      <x:c r="F45" s="35" t="str">
        <x:v>Python（常用于数据处理和自动化的编程语言）程序错误信息含糊、失败被忽略或需要在部分失败后安全恢复时使用。</x:v>
      </x:c>
      <x:c r="G45" s="35" t="str">
        <x:v>需要准备会失败的代码路径、真实错误示例、允许恢复的范围和日志要求。</x:v>
      </x:c>
      <x:c r="H45" s="35" t="str">
        <x:v>需要注意：捕获范围过宽会隐藏真正问题；错误日志不得泄露密码或敏感数据。</x:v>
      </x:c>
      <x:c r="I45" s="37" t="str">
        <x:v>中</x:v>
      </x:c>
      <x:c r="J45" s="37" t="str">
        <x:v>B｜少量调整</x:v>
      </x:c>
      <x:c r="K45" s="35" t="str">
        <x:v>先为关键边界定义明确错误类型和恢复规则，再用失败测试验证日志与清理动作。</x:v>
      </x:c>
      <x:c r="L45" s="35" t="str">
        <x:v>包内容已核验：已核对用途说明和包内文件；本次未安装、未运行，不能据此判断实际效果。</x:v>
      </x:c>
      <x:c r="M45" s="39" t="str">
        <x:v>python-error-handling</x:v>
      </x:c>
      <x:c r="N45" s="39" t="str">
        <x:v>GH-05-0041</x:v>
      </x:c>
      <x:c r="O45" s="36" t="str">
        <x:v>异常、上下文、部分失败、日志、恢复</x:v>
      </x:c>
      <x:c r="P45" s="36" t="str">
        <x:v>多智能体生态（Codex、Claude Code、Cursor、Gemini CLI 等）</x:v>
      </x:c>
      <x:c r="Q45" s="36" t="str">
        <x:v>社区 skill、GitHub 开源仓库</x:v>
      </x:c>
      <x:c r="R45" s="39" t="str">
        <x:v>MIT</x:v>
      </x:c>
      <x:c r="S45" s="41" t="n">
        <x:v>38534</x:v>
      </x:c>
      <x:c r="T45" s="42" t="n">
        <x:v>46239</x:v>
      </x:c>
      <x:c r="U45" s="36" t="str">
        <x:v>https://github.com/wshobson/agents/blob/main/plugins/python-development/skills/python-error-handling/SKILL.md</x:v>
      </x:c>
      <x:c r="V45" s="36" t="str">
        <x:v>https://github.com/wshobson/agents</x:v>
      </x:c>
    </x:row>
    <x:row r="46" ht="92" customHeight="1">
      <x:c r="A46" s="37" t="n">
        <x:v>42</x:v>
      </x:c>
      <x:c r="B46" s="38" t="str">
        <x:v>05-19 代码审查、代码规范与项目结构</x:v>
      </x:c>
      <x:c r="C46" s="38" t="str">
        <x:v>Python 项目结构</x:v>
      </x:c>
      <x:c r="D46" s="35" t="str">
        <x:v>按内聚模块、显式连接方式和一致约定组织可测试、可维护的 Python（常用于数据处理和自动化的编程语言）项目。</x:v>
      </x:c>
      <x:c r="E46" s="35" t="str">
        <x:v>适合学生、教师、数据工程与开发人员使用。</x:v>
      </x:c>
      <x:c r="F46" s="35" t="str">
        <x:v>Python 项目文件混乱、模块互相牵连，导致测试、复用或维护困难时使用。</x:v>
      </x:c>
      <x:c r="G46" s="35" t="str">
        <x:v>需要准备现有目录、模块职责、对外功能、启动方式和部署限制。</x:v>
      </x:c>
      <x:c r="H46" s="35" t="str">
        <x:v>需要注意：大规模搬动文件可能破坏导入路径；重组不能与功能修改混在一起。</x:v>
      </x:c>
      <x:c r="I46" s="37" t="str">
        <x:v>中</x:v>
      </x:c>
      <x:c r="J46" s="37" t="str">
        <x:v>B｜少量调整</x:v>
      </x:c>
      <x:c r="K46" s="35" t="str">
        <x:v>先画出模块关系并确定公开入口，再小步移动文件，每一步运行原有测试。</x:v>
      </x:c>
      <x:c r="L46" s="35" t="str">
        <x:v>说明已核验：已核对用途与使用说明；本次未安装、未运行，不能据此判断实际效果。</x:v>
      </x:c>
      <x:c r="M46" s="39" t="str">
        <x:v>python-project-structure</x:v>
      </x:c>
      <x:c r="N46" s="39" t="str">
        <x:v>GH-05-0042</x:v>
      </x:c>
      <x:c r="O46" s="36" t="str">
        <x:v>Python、模块、包、接口、项目架构</x:v>
      </x:c>
      <x:c r="P46" s="36" t="str">
        <x:v>多智能体生态（Codex、Claude Code、Cursor、Gemini CLI 等）</x:v>
      </x:c>
      <x:c r="Q46" s="36" t="str">
        <x:v>社区 skill、GitHub 开源仓库</x:v>
      </x:c>
      <x:c r="R46" s="39" t="str">
        <x:v>MIT</x:v>
      </x:c>
      <x:c r="S46" s="41" t="n">
        <x:v>38534</x:v>
      </x:c>
      <x:c r="T46" s="42" t="n">
        <x:v>46239</x:v>
      </x:c>
      <x:c r="U46" s="36" t="str">
        <x:v>https://github.com/wshobson/agents/blob/main/plugins/python-development/skills/python-project-structure/SKILL.md</x:v>
      </x:c>
      <x:c r="V46" s="36" t="str">
        <x:v>https://github.com/wshobson/agents</x:v>
      </x:c>
    </x:row>
    <x:row r="47" ht="92" customHeight="1">
      <x:c r="A47" s="37" t="n">
        <x:v>43</x:v>
      </x:c>
      <x:c r="B47" s="38" t="str">
        <x:v>05-05 并行计算与性能优化</x:v>
      </x:c>
      <x:c r="C47" s="38" t="str">
        <x:v>Python 性能分析与优化</x:v>
      </x:c>
      <x:c r="D47" s="35" t="str">
        <x:v>先建立基准并定位 CPU（执行通用计算任务的处理器）、内存或 I/O（数据的输入与输出）瓶颈，再选择针对性优化手段。</x:v>
      </x:c>
      <x:c r="E47" s="35" t="str">
        <x:v>适合学生、教师、数据工程与开发人员使用。</x:v>
      </x:c>
      <x:c r="F47" s="35" t="str">
        <x:v>Python（常用于数据处理和自动化的编程语言）程序耗时或占内存过高，需要确定真正瓶颈后再优化时使用。</x:v>
      </x:c>
      <x:c r="G47" s="35" t="str">
        <x:v>需要准备可重复任务、代表性输入、时间与内存基线和性能分析工具。</x:v>
      </x:c>
      <x:c r="H47" s="35" t="str">
        <x:v>需要注意：微小样本上的加速可能无实际价值；优化后必须核对输出一致。</x:v>
      </x:c>
      <x:c r="I47" s="37" t="str">
        <x:v>中</x:v>
      </x:c>
      <x:c r="J47" s="37" t="str">
        <x:v>B｜少量调整</x:v>
      </x:c>
      <x:c r="K47" s="35" t="str">
        <x:v>先保存基准结果并定位最耗资源步骤，一次只优化一个瓶颈并重新测量。</x:v>
      </x:c>
      <x:c r="L47" s="35" t="str">
        <x:v>包内容已核验：已核对用途说明和包内文件；本次未安装、未运行，不能据此判断实际效果。</x:v>
      </x:c>
      <x:c r="M47" s="39" t="str">
        <x:v>python-performance-optimization</x:v>
      </x:c>
      <x:c r="N47" s="39" t="str">
        <x:v>GH-05-0043</x:v>
      </x:c>
      <x:c r="O47" s="36" t="str">
        <x:v>Python、profiling、基准、内存、优化</x:v>
      </x:c>
      <x:c r="P47" s="36" t="str">
        <x:v>多智能体生态（Codex、Claude Code、Cursor、Gemini CLI 等）</x:v>
      </x:c>
      <x:c r="Q47" s="36" t="str">
        <x:v>社区 skill、GitHub 开源仓库</x:v>
      </x:c>
      <x:c r="R47" s="39" t="str">
        <x:v>MIT</x:v>
      </x:c>
      <x:c r="S47" s="41" t="n">
        <x:v>38534</x:v>
      </x:c>
      <x:c r="T47" s="42" t="n">
        <x:v>46239</x:v>
      </x:c>
      <x:c r="U47" s="36" t="str">
        <x:v>https://github.com/wshobson/agents/blob/main/plugins/python-development/skills/python-performance-optimization/SKILL.md</x:v>
      </x:c>
      <x:c r="V47" s="36" t="str">
        <x:v>https://github.com/wshobson/agents</x:v>
      </x:c>
    </x:row>
    <x:row r="48" ht="92" customHeight="1">
      <x:c r="A48" s="37" t="n">
        <x:v>44</x:v>
      </x:c>
      <x:c r="B48" s="38" t="str">
        <x:v>05-05 并行计算与性能优化</x:v>
      </x:c>
      <x:c r="C48" s="38" t="str">
        <x:v>Python 异步编程模式</x:v>
      </x:c>
      <x:c r="D48" s="35" t="str">
        <x:v>帮助判断程序是否需要在等待期间继续处理其他任务，并正确处理取消、超时和资源释放。</x:v>
      </x:c>
      <x:c r="E48" s="35" t="str">
        <x:v>适合学生、教师、数据工程与开发人员使用。</x:v>
      </x:c>
      <x:c r="F48" s="35" t="str">
        <x:v>Python（常用于数据处理和自动化的编程语言）程序经常等待网络或文件读写，希望等待期间继续处理其他任务时使用。</x:v>
      </x:c>
      <x:c r="G48" s="35" t="str">
        <x:v>需要准备等待型任务清单、超时要求、取消规则和资源关闭方式。</x:v>
      </x:c>
      <x:c r="H48" s="35" t="str">
        <x:v>需要注意：异步代码更难排错；遗漏取消和关闭处理会造成任务或连接泄漏。</x:v>
      </x:c>
      <x:c r="I48" s="37" t="str">
        <x:v>中</x:v>
      </x:c>
      <x:c r="J48" s="37" t="str">
        <x:v>B｜少量调整</x:v>
      </x:c>
      <x:c r="K48" s="35" t="str">
        <x:v>先确认任务确实以等待为主，从单一入口改造，并为超时、取消和清理增加测试。</x:v>
      </x:c>
      <x:c r="L48" s="35" t="str">
        <x:v>包内容已核验：已核对用途说明和包内文件；本次未安装、未运行，不能据此判断实际效果。</x:v>
      </x:c>
      <x:c r="M48" s="39" t="str">
        <x:v>async-python-patterns</x:v>
      </x:c>
      <x:c r="N48" s="39" t="str">
        <x:v>GH-05-0044</x:v>
      </x:c>
      <x:c r="O48" s="36" t="str">
        <x:v>asyncio、并发、任务、取消、超时</x:v>
      </x:c>
      <x:c r="P48" s="36" t="str">
        <x:v>多智能体生态（Codex、Claude Code、Cursor、Gemini CLI 等）</x:v>
      </x:c>
      <x:c r="Q48" s="36" t="str">
        <x:v>社区 skill、GitHub 开源仓库</x:v>
      </x:c>
      <x:c r="R48" s="39" t="str">
        <x:v>MIT</x:v>
      </x:c>
      <x:c r="S48" s="41" t="n">
        <x:v>38534</x:v>
      </x:c>
      <x:c r="T48" s="42" t="n">
        <x:v>46239</x:v>
      </x:c>
      <x:c r="U48" s="36" t="str">
        <x:v>https://github.com/wshobson/agents/blob/main/plugins/python-development/skills/async-python-patterns/SKILL.md</x:v>
      </x:c>
      <x:c r="V48" s="36" t="str">
        <x:v>https://github.com/wshobson/agents</x:v>
      </x:c>
    </x:row>
    <x:row r="49" ht="92" customHeight="1">
      <x:c r="A49" s="37" t="n">
        <x:v>45</x:v>
      </x:c>
      <x:c r="B49" s="38" t="str">
        <x:v>05-18 软件测试</x:v>
      </x:c>
      <x:c r="C49" s="38" t="str">
        <x:v>JavaScript/TypeScript 测试模式</x:v>
      </x:c>
      <x:c r="D49" s="35" t="str">
        <x:v>使用 Jest（检查 JavaScript 程序的测试工具）、Vitest（检查 JavaScript 程序的测试工具）等工具组织单元、集成和端到端测试及常见测试模式。</x:v>
      </x:c>
      <x:c r="E49" s="35" t="str">
        <x:v>适合学生、教师、数据工程与开发人员使用。</x:v>
      </x:c>
      <x:c r="F49" s="35" t="str">
        <x:v>JavaScript 或 TypeScript 项目需要补齐单元、组件协作或端到端测试时使用。</x:v>
      </x:c>
      <x:c r="G49" s="35" t="str">
        <x:v>需要准备待测网页或程序、预期交互、测试数据，以及 Jest 或 Vitest 环境。</x:v>
      </x:c>
      <x:c r="H49" s="35" t="str">
        <x:v>需要注意：端到端测试较慢且易受环境影响；模拟对象必须与真实连接方式一致。</x:v>
      </x:c>
      <x:c r="I49" s="37" t="str">
        <x:v>中</x:v>
      </x:c>
      <x:c r="J49" s="37" t="str">
        <x:v>B｜少量调整</x:v>
      </x:c>
      <x:c r="K49" s="35" t="str">
        <x:v>先沿用项目现有测试工具，按单元到端到端分层补充，并固定浏览器和运行版本。</x:v>
      </x:c>
      <x:c r="L49" s="35" t="str">
        <x:v>包内容已核验：已核对用途说明和包内文件；本次未安装、未运行，不能据此判断实际效果。</x:v>
      </x:c>
      <x:c r="M49" s="39" t="str">
        <x:v>javascript-testing-patterns</x:v>
      </x:c>
      <x:c r="N49" s="39" t="str">
        <x:v>GH-05-0045</x:v>
      </x:c>
      <x:c r="O49" s="36" t="str">
        <x:v>JavaScript、TypeScript、Jest、Vitest、端到端测试</x:v>
      </x:c>
      <x:c r="P49" s="36" t="str">
        <x:v>多智能体生态（Codex、Claude Code、Cursor、Gemini CLI 等）</x:v>
      </x:c>
      <x:c r="Q49" s="36" t="str">
        <x:v>社区 skill、GitHub 开源仓库</x:v>
      </x:c>
      <x:c r="R49" s="39" t="str">
        <x:v>MIT</x:v>
      </x:c>
      <x:c r="S49" s="41" t="n">
        <x:v>38534</x:v>
      </x:c>
      <x:c r="T49" s="42" t="n">
        <x:v>46239</x:v>
      </x:c>
      <x:c r="U49" s="36" t="str">
        <x:v>https://github.com/wshobson/agents/blob/main/plugins/javascript-typescript/skills/javascript-testing-patterns/SKILL.md</x:v>
      </x:c>
      <x:c r="V49" s="36" t="str">
        <x:v>https://github.com/wshobson/agents</x:v>
      </x:c>
    </x:row>
    <x:row r="50" ht="92" customHeight="1">
      <x:c r="A50" s="37" t="n">
        <x:v>46</x:v>
      </x:c>
      <x:c r="B50" s="38" t="str">
        <x:v>05-16 数据故事与分析结果表达</x:v>
      </x:c>
      <x:c r="C50" s="38" t="str">
        <x:v>数据分析架构图生成</x:v>
      </x:c>
      <x:c r="D50" s="35" t="str">
        <x:v>按照规定的图形元素，生成数据处理流程图和系统结构图。</x:v>
      </x:c>
      <x:c r="E50" s="35" t="str">
        <x:v>适合学生、教师、科研与数据分析人员使用。</x:v>
      </x:c>
      <x:c r="F50" s="35" t="str">
        <x:v>适用于分析报告、课程讲义和技术文档中的图表或架构图。</x:v>
      </x:c>
      <x:c r="G50" s="35" t="str">
        <x:v>需要准备支持 Markdown（用简单符号排版文本的格式）、Vega（用结构化说明生成图表的工具）或 Graphviz（根据文字说明生成关系图的工具）的图形生成工具。</x:v>
      </x:c>
      <x:c r="H50" s="35" t="str">
        <x:v>需要注意：项目资料库许可证未明确；语法正确不保证数据表达诚实，必须复核来源与尺度。项目资料库许可证未明确或无法由 GitHub 自动识别，采用前需单独核验。</x:v>
      </x:c>
      <x:c r="I50" s="37" t="str">
        <x:v>中</x:v>
      </x:c>
      <x:c r="J50" s="37" t="str">
        <x:v>B｜少量调整</x:v>
      </x:c>
      <x:c r="K50" s="35" t="str">
        <x:v>经过少量调整后可以使用，常见调整包括更换工具、路径或账号设置。具体建议：保留输出语法约束，将图形生成工具替换为项目支持的 Markdown、Vega 或 Graphviz 工具。</x:v>
      </x:c>
      <x:c r="L50" s="35" t="str">
        <x:v>包内容已核验：已核对用途说明和包内文件；本次未安装、未运行，不能据此判断实际效果。</x:v>
      </x:c>
      <x:c r="M50" s="39" t="str">
        <x:v>data-analytics</x:v>
      </x:c>
      <x:c r="N50" s="39" t="str">
        <x:v>GH-05-0046</x:v>
      </x:c>
      <x:c r="O50" s="36" t="str">
        <x:v>数据架构、ETL、数据库、mxGraph、图示</x:v>
      </x:c>
      <x:c r="P50" s="36" t="str">
        <x:v>AI 编程智能体通用工作流</x:v>
      </x:c>
      <x:c r="Q50" s="36" t="str">
        <x:v>社区 skill、GitHub 公开仓库（许可证待核）</x:v>
      </x:c>
      <x:c r="R50" s="39" t="str">
        <x:v>未明确</x:v>
      </x:c>
      <x:c r="S50" s="41" t="n">
        <x:v>3116</x:v>
      </x:c>
      <x:c r="T50" s="42" t="n">
        <x:v>46168</x:v>
      </x:c>
      <x:c r="U50" s="36" t="str">
        <x:v>https://github.com/markdown-viewer/skills/blob/main/data-analytics/SKILL.md</x:v>
      </x:c>
      <x:c r="V50" s="36" t="str">
        <x:v>https://github.com/markdown-viewer/skills</x:v>
      </x:c>
    </x:row>
    <x:row r="51" ht="92" customHeight="1">
      <x:c r="A51" s="37" t="n">
        <x:v>47</x:v>
      </x:c>
      <x:c r="B51" s="38" t="str">
        <x:v>05-15 地图、网络与交互式可视化</x:v>
      </x:c>
      <x:c r="C51" s="38" t="str">
        <x:v>Vega/Vega-Lite 图表生成</x:v>
      </x:c>
      <x:c r="D51" s="35" t="str">
        <x:v>依据字段类型和语法约束生成可生成图表的 Vega（用结构化说明生成图表的工具）或 Vega-Lite（用结构化说明生成图表的工具） JSON（一种结构化文本数据格式）可视化。</x:v>
      </x:c>
      <x:c r="E51" s="35" t="str">
        <x:v>适合学生、教师、科研与数据分析人员使用。</x:v>
      </x:c>
      <x:c r="F51" s="35" t="str">
        <x:v>适用于分析报告、课程讲义和技术文档中的图表或架构图。</x:v>
      </x:c>
      <x:c r="G51" s="35" t="str">
        <x:v>需要准备：相应图形生成工具或支持的 Markdown（用简单符号排版文本的格式）查看器。</x:v>
      </x:c>
      <x:c r="H51" s="35" t="str">
        <x:v>需要注意：项目资料库许可证未明确；语法正确不保证数据表达诚实，必须复核来源与尺度。项目资料库许可证未明确或无法由 GitHub 自动识别，采用前需单独核验。</x:v>
      </x:c>
      <x:c r="I51" s="37" t="str">
        <x:v>中</x:v>
      </x:c>
      <x:c r="J51" s="37" t="str">
        <x:v>B｜少量调整</x:v>
      </x:c>
      <x:c r="K51" s="35" t="str">
        <x:v>经过少量调整后可以使用，常见调整包括更换工具、路径或账号设置。具体建议：保留输出语法约束，将图形生成工具替换为项目支持的 Markdown、Vega 或 Graphviz（根据文字说明生成关系图的工具）工具。</x:v>
      </x:c>
      <x:c r="L51" s="35" t="str">
        <x:v>包内容已核验：已核对用途说明和包内文件；本次未安装、未运行，不能据此判断实际效果。</x:v>
      </x:c>
      <x:c r="M51" s="39" t="str">
        <x:v>vega</x:v>
      </x:c>
      <x:c r="N51" s="39" t="str">
        <x:v>GH-05-0047</x:v>
      </x:c>
      <x:c r="O51" s="36" t="str">
        <x:v>Vega、Vega-Lite、JSON、交互图表</x:v>
      </x:c>
      <x:c r="P51" s="36" t="str">
        <x:v>AI 编程智能体通用工作流</x:v>
      </x:c>
      <x:c r="Q51" s="36" t="str">
        <x:v>社区 skill、GitHub 公开仓库（许可证待核）</x:v>
      </x:c>
      <x:c r="R51" s="39" t="str">
        <x:v>未明确</x:v>
      </x:c>
      <x:c r="S51" s="41" t="n">
        <x:v>3116</x:v>
      </x:c>
      <x:c r="T51" s="42" t="n">
        <x:v>46168</x:v>
      </x:c>
      <x:c r="U51" s="36" t="str">
        <x:v>https://github.com/markdown-viewer/skills/blob/main/vega/SKILL.md</x:v>
      </x:c>
      <x:c r="V51" s="36" t="str">
        <x:v>https://github.com/markdown-viewer/skills</x:v>
      </x:c>
    </x:row>
    <x:row r="52" ht="92" customHeight="1">
      <x:c r="A52" s="37" t="n">
        <x:v>48</x:v>
      </x:c>
      <x:c r="B52" s="38" t="str">
        <x:v>05-15 地图、网络与交互式可视化</x:v>
      </x:c>
      <x:c r="C52" s="38" t="str">
        <x:v>Graphviz DOT 图示</x:v>
      </x:c>
      <x:c r="D52" s="35" t="str">
        <x:v>用正确的 DOT（用文本描述关系图的格式）、子图、标签和边语法生成流程、依赖与网络结构图。</x:v>
      </x:c>
      <x:c r="E52" s="35" t="str">
        <x:v>适合学生、教师、科研与数据分析人员使用。</x:v>
      </x:c>
      <x:c r="F52" s="35" t="str">
        <x:v>适用于分析报告、课程讲义和技术文档中的图表或架构图。</x:v>
      </x:c>
      <x:c r="G52" s="35" t="str">
        <x:v>需要准备：相应图形生成工具或支持的 Markdown（用简单符号排版文本的格式）查看器。</x:v>
      </x:c>
      <x:c r="H52" s="35" t="str">
        <x:v>需要注意：项目资料库许可证未明确；语法正确不保证数据表达诚实，必须复核来源与尺度。项目资料库许可证未明确或无法由 GitHub 自动识别，采用前需单独核验。</x:v>
      </x:c>
      <x:c r="I52" s="37" t="str">
        <x:v>中</x:v>
      </x:c>
      <x:c r="J52" s="37" t="str">
        <x:v>B｜少量调整</x:v>
      </x:c>
      <x:c r="K52" s="35" t="str">
        <x:v>经过少量调整后可以使用，常见调整包括更换工具、路径或账号设置。具体建议：保留输出语法约束，将图形生成工具替换为项目支持的 Markdown、Vega（用结构化说明生成图表的工具）或 Graphviz（根据文字说明生成关系图的工具）工具。</x:v>
      </x:c>
      <x:c r="L52" s="35" t="str">
        <x:v>包内容已核验：已核对用途说明和包内文件；本次未安装、未运行，不能据此判断实际效果。</x:v>
      </x:c>
      <x:c r="M52" s="39" t="str">
        <x:v>graphviz</x:v>
      </x:c>
      <x:c r="N52" s="39" t="str">
        <x:v>GH-05-0048</x:v>
      </x:c>
      <x:c r="O52" s="36" t="str">
        <x:v>Graphviz、DOT、关系图、流程图、布局</x:v>
      </x:c>
      <x:c r="P52" s="36" t="str">
        <x:v>AI 编程智能体通用工作流</x:v>
      </x:c>
      <x:c r="Q52" s="36" t="str">
        <x:v>社区 skill、GitHub 公开仓库（许可证待核）</x:v>
      </x:c>
      <x:c r="R52" s="39" t="str">
        <x:v>未明确</x:v>
      </x:c>
      <x:c r="S52" s="41" t="n">
        <x:v>3116</x:v>
      </x:c>
      <x:c r="T52" s="42" t="n">
        <x:v>46168</x:v>
      </x:c>
      <x:c r="U52" s="36" t="str">
        <x:v>https://github.com/markdown-viewer/skills/blob/main/graphviz/SKILL.md</x:v>
      </x:c>
      <x:c r="V52" s="36" t="str">
        <x:v>https://github.com/markdown-viewer/skills</x:v>
      </x:c>
    </x:row>
    <x:row r="53" ht="92" customHeight="1">
      <x:c r="A53" s="37" t="n">
        <x:v>49</x:v>
      </x:c>
      <x:c r="B53" s="38" t="str">
        <x:v>05-13 形式化数学证明</x:v>
      </x:c>
      <x:c r="C53" s="38" t="str">
        <x:v>Lean 定理证明方法</x:v>
      </x:c>
      <x:c r="D53" s="35" t="str">
        <x:v>以小步验证和错误优先策略构造、调试并清理 Lean（由计算机检查数学证明的工具）形式化证明。</x:v>
      </x:c>
      <x:c r="E53" s="35" t="str">
        <x:v>适合数学、计算机专业学生与教师、形式化方法研究人员使用。</x:v>
      </x:c>
      <x:c r="F53" s="35" t="str">
        <x:v>适用于Lean 课程、形式化证明、mathlib（供 Lean 使用的数学定理资料库）贡献与代码审查。</x:v>
      </x:c>
      <x:c r="G53" s="35" t="str">
        <x:v>需要准备：Lean 配套工具、mathlib 与项目构建环境。</x:v>
      </x:c>
      <x:c r="H53" s="35" t="str">
        <x:v>需要注意：本轮未编译证明；版本和导入差异会影响结论。</x:v>
      </x:c>
      <x:c r="I53" s="37" t="str">
        <x:v>中</x:v>
      </x:c>
      <x:c r="J53" s="37" t="str">
        <x:v>B｜少量调整</x:v>
      </x:c>
      <x:c r="K53" s="35" t="str">
        <x:v>经过少量调整后可以使用，常见调整包括更换工具、路径或账号设置。具体建议：对接本校 Lean/mathlib 版本和构建命令，所有证明以实际编译通过为准。</x:v>
      </x:c>
      <x:c r="L53" s="35" t="str">
        <x:v>包内容已核验：已核对用途说明和包内文件；本次未安装、未运行，不能据此判断实际效果。</x:v>
      </x:c>
      <x:c r="M53" s="39" t="str">
        <x:v>lean-proof</x:v>
      </x:c>
      <x:c r="N53" s="39" t="str">
        <x:v>GH-05-0049</x:v>
      </x:c>
      <x:c r="O53" s="36" t="str">
        <x:v>Lean、形式化证明、定理、错误定位、mathlib</x:v>
      </x:c>
      <x:c r="P53" s="36" t="str">
        <x:v>Agent Skills（Lean 生态）</x:v>
      </x:c>
      <x:c r="Q53" s="36" t="str">
        <x:v>社区 skill、GitHub 开源仓库</x:v>
      </x:c>
      <x:c r="R53" s="39" t="str">
        <x:v>Apache-2.0</x:v>
      </x:c>
      <x:c r="S53" s="41" t="n">
        <x:v>61</x:v>
      </x:c>
      <x:c r="T53" s="42" t="n">
        <x:v>46078</x:v>
      </x:c>
      <x:c r="U53" s="36" t="str">
        <x:v>https://github.com/leanprover/skills/blob/main/skills/lean-proof/SKILL.md</x:v>
      </x:c>
      <x:c r="V53" s="36" t="str">
        <x:v>https://github.com/leanprover/skills</x:v>
      </x:c>
    </x:row>
    <x:row r="54" ht="92" customHeight="1">
      <x:c r="A54" s="37" t="n">
        <x:v>50</x:v>
      </x:c>
      <x:c r="B54" s="38" t="str">
        <x:v>05-13 形式化数学证明</x:v>
      </x:c>
      <x:c r="C54" s="38" t="str">
        <x:v>Mathlib 代码审查</x:v>
      </x:c>
      <x:c r="D54" s="35" t="str">
        <x:v>依据 mathlib（供 Lean 使用的数学定理资料库）的属性、API（软件之间交换信息的接口）和风格要求审查形式化数学贡献。</x:v>
      </x:c>
      <x:c r="E54" s="35" t="str">
        <x:v>适合数学、计算机专业学生与教师、形式化方法研究人员使用。</x:v>
      </x:c>
      <x:c r="F54" s="35" t="str">
        <x:v>适用于Lean（由计算机检查数学证明的工具）课程、形式化证明、mathlib 贡献与代码审查。</x:v>
      </x:c>
      <x:c r="G54" s="35" t="str">
        <x:v>需要准备：Lean 配套工具、mathlib 与项目构建环境。</x:v>
      </x:c>
      <x:c r="H54" s="35" t="str">
        <x:v>需要注意：本轮未编译证明；版本和导入差异会影响结论。</x:v>
      </x:c>
      <x:c r="I54" s="37" t="str">
        <x:v>中</x:v>
      </x:c>
      <x:c r="J54" s="37" t="str">
        <x:v>B｜少量调整</x:v>
      </x:c>
      <x:c r="K54" s="35" t="str">
        <x:v>经过少量调整后可以使用，常见调整包括更换工具、路径或账号设置。具体建议：对接本校 Lean/mathlib 版本和构建命令，所有证明以实际编译通过为准。</x:v>
      </x:c>
      <x:c r="L54" s="35" t="str">
        <x:v>说明已核验：已核对用途与使用说明；本次未安装、未运行，不能据此判断实际效果。</x:v>
      </x:c>
      <x:c r="M54" s="39" t="str">
        <x:v>mathlib-review</x:v>
      </x:c>
      <x:c r="N54" s="39" t="str">
        <x:v>GH-05-0050</x:v>
      </x:c>
      <x:c r="O54" s="36" t="str">
        <x:v>Lean、mathlib、PR 审查、API、风格</x:v>
      </x:c>
      <x:c r="P54" s="36" t="str">
        <x:v>Agent Skills（Lean 生态）</x:v>
      </x:c>
      <x:c r="Q54" s="36" t="str">
        <x:v>社区 skill、GitHub 开源仓库</x:v>
      </x:c>
      <x:c r="R54" s="39" t="str">
        <x:v>Apache-2.0</x:v>
      </x:c>
      <x:c r="S54" s="41" t="n">
        <x:v>61</x:v>
      </x:c>
      <x:c r="T54" s="42" t="n">
        <x:v>46078</x:v>
      </x:c>
      <x:c r="U54" s="36" t="str">
        <x:v>https://github.com/leanprover/skills/blob/main/skills/mathlib-review/SKILL.md</x:v>
      </x:c>
      <x:c r="V54" s="36" t="str">
        <x:v>https://github.com/leanprover/skills</x:v>
      </x:c>
    </x:row>
    <x:row r="55" ht="92" customHeight="1">
      <x:c r="A55" s="37" t="n">
        <x:v>51</x:v>
      </x:c>
      <x:c r="B55" s="38" t="str">
        <x:v>05-08 贝叶斯分析、因果分析与实验设计</x:v>
      </x:c>
      <x:c r="C55" s="38" t="str">
        <x:v>贝叶斯推理与概率校准</x:v>
      </x:c>
      <x:c r="D55" s="35" t="str">
        <x:v>显式记录先验和新证据的似然，更新概率判断并校准决策信心。</x:v>
      </x:c>
      <x:c r="E55" s="35" t="str">
        <x:v>适合学生、教师、科研与数据分析人员使用。</x:v>
      </x:c>
      <x:c r="F55" s="35" t="str">
        <x:v>适用于实验设计、因果与贝叶斯推理、可视化选择和交互图表。</x:v>
      </x:c>
      <x:c r="G55" s="35" t="str">
        <x:v>需要准备：按任务可能需要统计软件、D3.js（制作网页交互图表的工具）或浏览器环境。</x:v>
      </x:c>
      <x:c r="H55" s="35" t="str">
        <x:v>需要注意：项目资料库许可证未明确；方法模板不能代替数据诊断、因果识别条件或真实运行验证。项目资料库许可证未明确或无法由 GitHub 自动识别，采用前需单独核验。</x:v>
      </x:c>
      <x:c r="I55" s="37" t="str">
        <x:v>中</x:v>
      </x:c>
      <x:c r="J55" s="37" t="str">
        <x:v>B｜少量调整</x:v>
      </x:c>
      <x:c r="K55" s="35" t="str">
        <x:v>经过少量调整后可以使用，常见调整包括更换工具、路径或账号设置。具体建议：将 Claude 专用工具用法替换为 Codex 可用工具，并补充学科统计假设和必须通过的检查。</x:v>
      </x:c>
      <x:c r="L55" s="35" t="str">
        <x:v>包内容已核验：已核对用途说明和包内文件；本次未安装、未运行，不能据此判断实际效果。</x:v>
      </x:c>
      <x:c r="M55" s="39" t="str">
        <x:v>bayesian-reasoning-calibration</x:v>
      </x:c>
      <x:c r="N55" s="39" t="str">
        <x:v>GH-05-0051</x:v>
      </x:c>
      <x:c r="O55" s="36" t="str">
        <x:v>贝叶斯、先验、似然、概率、决策</x:v>
      </x:c>
      <x:c r="P55" s="36" t="str">
        <x:v>Anthropic Claude Code / 可移植工作流</x:v>
      </x:c>
      <x:c r="Q55" s="36" t="str">
        <x:v>社区 skill、GitHub 公开仓库（许可证待核）</x:v>
      </x:c>
      <x:c r="R55" s="39" t="str">
        <x:v>未明确</x:v>
      </x:c>
      <x:c r="S55" s="41" t="n">
        <x:v>141</x:v>
      </x:c>
      <x:c r="T55" s="42" t="n">
        <x:v>46238</x:v>
      </x:c>
      <x:c r="U55" s="36" t="str">
        <x:v>https://github.com/lyndonkl/claude/blob/main/skills/bayesian-reasoning-calibration/SKILL.md</x:v>
      </x:c>
      <x:c r="V55" s="36" t="str">
        <x:v>https://github.com/lyndonkl/claude</x:v>
      </x:c>
    </x:row>
    <x:row r="56" ht="92" customHeight="1">
      <x:c r="A56" s="37" t="n">
        <x:v>52</x:v>
      </x:c>
      <x:c r="B56" s="38" t="str">
        <x:v>05-08 贝叶斯分析、因果分析与实验设计</x:v>
      </x:c>
      <x:c r="C56" s="38" t="str">
        <x:v>因果推断与根因分析</x:v>
      </x:c>
      <x:c r="D56" s="35" t="str">
        <x:v>提出竞争性因果假设，利用反事实与可区分检验寻找更可信的根因。</x:v>
      </x:c>
      <x:c r="E56" s="35" t="str">
        <x:v>适合学生、教师、科研与数据分析人员使用。</x:v>
      </x:c>
      <x:c r="F56" s="35" t="str">
        <x:v>适用于实验设计、因果与贝叶斯推理、可视化选择和交互图表。</x:v>
      </x:c>
      <x:c r="G56" s="35" t="str">
        <x:v>需要准备：按任务可能需要统计软件、D3.js（制作网页交互图表的工具）或浏览器环境。</x:v>
      </x:c>
      <x:c r="H56" s="35" t="str">
        <x:v>需要注意：项目资料库许可证未明确；方法模板不能代替数据诊断、因果识别条件或真实运行验证。项目资料库许可证未明确或无法由 GitHub 自动识别，采用前需单独核验。</x:v>
      </x:c>
      <x:c r="I56" s="37" t="str">
        <x:v>中</x:v>
      </x:c>
      <x:c r="J56" s="37" t="str">
        <x:v>B｜少量调整</x:v>
      </x:c>
      <x:c r="K56" s="35" t="str">
        <x:v>经过少量调整后可以使用，常见调整包括更换工具、路径或账号设置。具体建议：将 Claude 专用工具用法替换为 Codex 可用工具，并补充学科统计假设和必须通过的检查。</x:v>
      </x:c>
      <x:c r="L56" s="35" t="str">
        <x:v>包内容已核验：已核对用途说明和包内文件；本次未安装、未运行，不能据此判断实际效果。</x:v>
      </x:c>
      <x:c r="M56" s="39" t="str">
        <x:v>causal-inference-root-cause</x:v>
      </x:c>
      <x:c r="N56" s="39" t="str">
        <x:v>GH-05-0052</x:v>
      </x:c>
      <x:c r="O56" s="36" t="str">
        <x:v>因果推断、反事实、假设、根因、实验</x:v>
      </x:c>
      <x:c r="P56" s="36" t="str">
        <x:v>Anthropic Claude Code / 可移植工作流</x:v>
      </x:c>
      <x:c r="Q56" s="36" t="str">
        <x:v>社区 skill、GitHub 公开仓库（许可证待核）</x:v>
      </x:c>
      <x:c r="R56" s="39" t="str">
        <x:v>未明确</x:v>
      </x:c>
      <x:c r="S56" s="41" t="n">
        <x:v>141</x:v>
      </x:c>
      <x:c r="T56" s="42" t="n">
        <x:v>46238</x:v>
      </x:c>
      <x:c r="U56" s="36" t="str">
        <x:v>https://github.com/lyndonkl/claude/blob/main/skills/causal-inference-root-cause/SKILL.md</x:v>
      </x:c>
      <x:c r="V56" s="36" t="str">
        <x:v>https://github.com/lyndonkl/claude</x:v>
      </x:c>
    </x:row>
    <x:row r="57" ht="92" customHeight="1">
      <x:c r="A57" s="37" t="n">
        <x:v>53</x:v>
      </x:c>
      <x:c r="B57" s="38" t="str">
        <x:v>05-08 贝叶斯分析、因果分析与实验设计</x:v>
      </x:c>
      <x:c r="C57" s="38" t="str">
        <x:v>实验设计</x:v>
      </x:c>
      <x:c r="D57" s="35" t="str">
        <x:v>把研究问题转化为因素、处理、对照、随机化和预先分析计划。</x:v>
      </x:c>
      <x:c r="E57" s="35" t="str">
        <x:v>适合学生、教师、科研与数据分析人员使用。</x:v>
      </x:c>
      <x:c r="F57" s="35" t="str">
        <x:v>适用于实验设计、因果与贝叶斯推理、可视化选择和交互图表。</x:v>
      </x:c>
      <x:c r="G57" s="35" t="str">
        <x:v>需要准备：按任务可能需要统计软件、D3.js（制作网页交互图表的工具）或浏览器环境。</x:v>
      </x:c>
      <x:c r="H57" s="35" t="str">
        <x:v>需要注意：项目资料库许可证未明确；方法模板不能代替数据诊断、因果识别条件或真实运行验证。项目资料库许可证未明确或无法由 GitHub 自动识别，采用前需单独核验。</x:v>
      </x:c>
      <x:c r="I57" s="37" t="str">
        <x:v>中</x:v>
      </x:c>
      <x:c r="J57" s="37" t="str">
        <x:v>B｜少量调整</x:v>
      </x:c>
      <x:c r="K57" s="35" t="str">
        <x:v>经过少量调整后可以使用，常见调整包括更换工具、路径或账号设置。具体建议：将 Claude 专用工具用法替换为 Codex 可用工具，并补充学科统计假设和必须通过的检查。</x:v>
      </x:c>
      <x:c r="L57" s="35" t="str">
        <x:v>包内容已核验：已核对用途说明和包内文件；本次未安装、未运行，不能据此判断实际效果。</x:v>
      </x:c>
      <x:c r="M57" s="39" t="str">
        <x:v>design-of-experiments</x:v>
      </x:c>
      <x:c r="N57" s="39" t="str">
        <x:v>GH-05-0053</x:v>
      </x:c>
      <x:c r="O57" s="36" t="str">
        <x:v>实验设计、随机化、对照、功效、分析计划</x:v>
      </x:c>
      <x:c r="P57" s="36" t="str">
        <x:v>Anthropic Claude Code / 可移植工作流</x:v>
      </x:c>
      <x:c r="Q57" s="36" t="str">
        <x:v>社区 skill、GitHub 公开仓库（许可证待核）</x:v>
      </x:c>
      <x:c r="R57" s="39" t="str">
        <x:v>未明确</x:v>
      </x:c>
      <x:c r="S57" s="41" t="n">
        <x:v>141</x:v>
      </x:c>
      <x:c r="T57" s="42" t="n">
        <x:v>46238</x:v>
      </x:c>
      <x:c r="U57" s="36" t="str">
        <x:v>https://github.com/lyndonkl/claude/blob/main/skills/design-of-experiments/SKILL.md</x:v>
      </x:c>
      <x:c r="V57" s="36" t="str">
        <x:v>https://github.com/lyndonkl/claude</x:v>
      </x:c>
    </x:row>
    <x:row r="58" ht="92" customHeight="1">
      <x:c r="A58" s="37" t="n">
        <x:v>54</x:v>
      </x:c>
      <x:c r="B58" s="38" t="str">
        <x:v>05-16 数据故事与分析结果表达</x:v>
      </x:c>
      <x:c r="C58" s="38" t="str">
        <x:v>可视化选择与结果报告</x:v>
      </x:c>
      <x:c r="D58" s="35" t="str">
        <x:v>根据问题和数据类型选择图表，完成设计检查、叙事组织和误导风险审计。</x:v>
      </x:c>
      <x:c r="E58" s="35" t="str">
        <x:v>适合学生、教师、科研与数据分析人员使用。</x:v>
      </x:c>
      <x:c r="F58" s="35" t="str">
        <x:v>适用于实验设计、因果与贝叶斯推理、可视化选择和交互图表。</x:v>
      </x:c>
      <x:c r="G58" s="35" t="str">
        <x:v>需要准备：按任务可能需要统计软件、D3.js（制作网页交互图表的工具）或浏览器环境。</x:v>
      </x:c>
      <x:c r="H58" s="35" t="str">
        <x:v>需要注意：项目资料库许可证未明确；方法模板不能代替数据诊断、因果识别条件或真实运行验证。项目资料库许可证未明确或无法由 GitHub 自动识别，采用前需单独核验。</x:v>
      </x:c>
      <x:c r="I58" s="37" t="str">
        <x:v>高</x:v>
      </x:c>
      <x:c r="J58" s="37" t="str">
        <x:v>B｜少量调整</x:v>
      </x:c>
      <x:c r="K58" s="35" t="str">
        <x:v>经过少量调整后可以使用，常见调整包括更换工具、路径或账号设置。具体建议：将 Claude 专用工具用法替换为 Codex 可用工具，并补充学科统计假设和必须通过的检查。</x:v>
      </x:c>
      <x:c r="L58" s="35" t="str">
        <x:v>包内容已核验：已核对用途说明和包内文件；本次未安装、未运行，不能据此判断实际效果。</x:v>
      </x:c>
      <x:c r="M58" s="39" t="str">
        <x:v>visualization-choice-reporting</x:v>
      </x:c>
      <x:c r="N58" s="39" t="str">
        <x:v>GH-05-0054</x:v>
      </x:c>
      <x:c r="O58" s="36" t="str">
        <x:v>图表选择、数据类型、叙事、报告、误导防范</x:v>
      </x:c>
      <x:c r="P58" s="36" t="str">
        <x:v>Anthropic Claude Code / 可移植工作流</x:v>
      </x:c>
      <x:c r="Q58" s="36" t="str">
        <x:v>社区 skill、GitHub 公开仓库（许可证待核）</x:v>
      </x:c>
      <x:c r="R58" s="39" t="str">
        <x:v>未明确</x:v>
      </x:c>
      <x:c r="S58" s="41" t="n">
        <x:v>141</x:v>
      </x:c>
      <x:c r="T58" s="42" t="n">
        <x:v>46238</x:v>
      </x:c>
      <x:c r="U58" s="36" t="str">
        <x:v>https://github.com/lyndonkl/claude/blob/main/skills/visualization-choice-reporting/SKILL.md</x:v>
      </x:c>
      <x:c r="V58" s="36" t="str">
        <x:v>https://github.com/lyndonkl/claude</x:v>
      </x:c>
    </x:row>
    <x:row r="59" ht="92" customHeight="1">
      <x:c r="A59" s="37" t="n">
        <x:v>55</x:v>
      </x:c>
      <x:c r="B59" s="38" t="str">
        <x:v>05-15 地图、网络与交互式可视化</x:v>
      </x:c>
      <x:c r="C59" s="38" t="str">
        <x:v>D3.js 交互可视化</x:v>
      </x:c>
      <x:c r="D59" s="35" t="str">
        <x:v>用数据绑定、比例尺、轴、过渡和布局创建可复用的交互式 Web 可视化。</x:v>
      </x:c>
      <x:c r="E59" s="35" t="str">
        <x:v>适合学生、教师、科研与数据分析人员使用。</x:v>
      </x:c>
      <x:c r="F59" s="35" t="str">
        <x:v>适用于实验设计、因果与贝叶斯推理、可视化选择和交互图表。</x:v>
      </x:c>
      <x:c r="G59" s="35" t="str">
        <x:v>需要准备：按任务可能需要统计软件、D3.js（制作网页交互图表的工具）或浏览器环境。</x:v>
      </x:c>
      <x:c r="H59" s="35" t="str">
        <x:v>需要注意：项目资料库许可证未明确；方法模板不能代替数据诊断、因果识别条件或真实运行验证。项目资料库许可证未明确或无法由 GitHub 自动识别，采用前需单独核验。</x:v>
      </x:c>
      <x:c r="I59" s="37" t="str">
        <x:v>中</x:v>
      </x:c>
      <x:c r="J59" s="37" t="str">
        <x:v>B｜少量调整</x:v>
      </x:c>
      <x:c r="K59" s="35" t="str">
        <x:v>经过少量调整后可以使用，常见调整包括更换工具、路径或账号设置。具体建议：将 Claude 专用工具用法替换为 Codex 可用工具，并补充学科统计假设和必须通过的检查。</x:v>
      </x:c>
      <x:c r="L59" s="35" t="str">
        <x:v>包内容已核验：已核对用途说明和包内文件；本次未安装、未运行，不能据此判断实际效果。</x:v>
      </x:c>
      <x:c r="M59" s="39" t="str">
        <x:v>d3-visualization</x:v>
      </x:c>
      <x:c r="N59" s="39" t="str">
        <x:v>GH-05-0055</x:v>
      </x:c>
      <x:c r="O59" s="36" t="str">
        <x:v>D3.js、SVG、交互、布局、数据绑定</x:v>
      </x:c>
      <x:c r="P59" s="36" t="str">
        <x:v>Anthropic Claude Code / 可移植工作流</x:v>
      </x:c>
      <x:c r="Q59" s="36" t="str">
        <x:v>社区 skill、GitHub 公开仓库（许可证待核）</x:v>
      </x:c>
      <x:c r="R59" s="39" t="str">
        <x:v>未明确</x:v>
      </x:c>
      <x:c r="S59" s="41" t="n">
        <x:v>141</x:v>
      </x:c>
      <x:c r="T59" s="42" t="n">
        <x:v>46238</x:v>
      </x:c>
      <x:c r="U59" s="36" t="str">
        <x:v>https://github.com/lyndonkl/claude/blob/main/skills/d3-visualization/SKILL.md</x:v>
      </x:c>
      <x:c r="V59" s="36" t="str">
        <x:v>https://github.com/lyndonkl/claude</x:v>
      </x:c>
    </x:row>
  </x:sheetData>
  <x:mergeCells>
    <x:mergeCell ref="A1:V1"/>
    <x:mergeCell ref="A2:V2"/>
    <x:mergeCell ref="A3:L3"/>
    <x:mergeCell ref="M3:V3"/>
  </x:mergeCells>
  <x:conditionalFormatting sqref="I5:I59">
    <x:cfRule type="cellIs" dxfId="0" priority="1" operator="equal">
      <x:formula>"高"</x:formula>
    </x:cfRule>
    <x:cfRule type="cellIs" dxfId="1" priority="2" operator="equal">
      <x:formula>"中"</x:formula>
    </x:cfRule>
  </x:conditionalFormatting>
  <x:conditionalFormatting sqref="J5:J59">
    <x:cfRule type="beginsWith" dxfId="2" priority="3" operator="beginsWith" text="A"/>
    <x:cfRule type="beginsWith" dxfId="3" priority="4" operator="beginsWith" text="B"/>
    <x:cfRule type="beginsWith" dxfId="4" priority="5" operator="beginsWith" text="C"/>
    <x:cfRule type="beginsWith" dxfId="5" priority="6" operator="beginsWith" text="D"/>
  </x:conditionalFormatting>
  <x:pageMargins left="0.7" right="0.7" top="0.75" bottom="0.75" header="0.3" footer="0.3"/>
  <x:hyperlinks>
    <x:hyperlink ref="U5" r:id="rIdHyperlink1"/>
    <x:hyperlink ref="V5" r:id="rIdHyperlink2"/>
    <x:hyperlink ref="U6" r:id="rIdHyperlink3"/>
    <x:hyperlink ref="V6" r:id="rIdHyperlink4"/>
    <x:hyperlink ref="U7" r:id="rIdHyperlink5"/>
    <x:hyperlink ref="V7" r:id="rIdHyperlink6"/>
    <x:hyperlink ref="U8" r:id="rIdHyperlink7"/>
    <x:hyperlink ref="V8" r:id="rIdHyperlink8"/>
    <x:hyperlink ref="U9" r:id="rIdHyperlink9"/>
    <x:hyperlink ref="V9" r:id="rIdHyperlink10"/>
    <x:hyperlink ref="U10" r:id="rIdHyperlink11"/>
    <x:hyperlink ref="V10" r:id="rIdHyperlink12"/>
    <x:hyperlink ref="U11" r:id="rIdHyperlink13"/>
    <x:hyperlink ref="V11" r:id="rIdHyperlink14"/>
    <x:hyperlink ref="U12" r:id="rIdHyperlink15"/>
    <x:hyperlink ref="V12" r:id="rIdHyperlink16"/>
    <x:hyperlink ref="U13" r:id="rIdHyperlink17"/>
    <x:hyperlink ref="V13" r:id="rIdHyperlink18"/>
    <x:hyperlink ref="U14" r:id="rIdHyperlink19"/>
    <x:hyperlink ref="V14" r:id="rIdHyperlink20"/>
    <x:hyperlink ref="U15" r:id="rIdHyperlink21"/>
    <x:hyperlink ref="V15" r:id="rIdHyperlink22"/>
    <x:hyperlink ref="U16" r:id="rIdHyperlink23"/>
    <x:hyperlink ref="V16" r:id="rIdHyperlink24"/>
    <x:hyperlink ref="U17" r:id="rIdHyperlink25"/>
    <x:hyperlink ref="V17" r:id="rIdHyperlink26"/>
    <x:hyperlink ref="U18" r:id="rIdHyperlink27"/>
    <x:hyperlink ref="V18" r:id="rIdHyperlink28"/>
    <x:hyperlink ref="U19" r:id="rIdHyperlink29"/>
    <x:hyperlink ref="V19" r:id="rIdHyperlink30"/>
    <x:hyperlink ref="U20" r:id="rIdHyperlink31"/>
    <x:hyperlink ref="V20" r:id="rIdHyperlink32"/>
    <x:hyperlink ref="U21" r:id="rIdHyperlink33"/>
    <x:hyperlink ref="V21" r:id="rIdHyperlink34"/>
    <x:hyperlink ref="U22" r:id="rIdHyperlink35"/>
    <x:hyperlink ref="V22" r:id="rIdHyperlink36"/>
    <x:hyperlink ref="U23" r:id="rIdHyperlink37"/>
    <x:hyperlink ref="V23" r:id="rIdHyperlink38"/>
    <x:hyperlink ref="U24" r:id="rIdHyperlink39"/>
    <x:hyperlink ref="V24" r:id="rIdHyperlink40"/>
    <x:hyperlink ref="U25" r:id="rIdHyperlink41"/>
    <x:hyperlink ref="V25" r:id="rIdHyperlink42"/>
    <x:hyperlink ref="U26" r:id="rIdHyperlink43"/>
    <x:hyperlink ref="V26" r:id="rIdHyperlink44"/>
    <x:hyperlink ref="U27" r:id="rIdHyperlink45"/>
    <x:hyperlink ref="V27" r:id="rIdHyperlink46"/>
    <x:hyperlink ref="U28" r:id="rIdHyperlink47"/>
    <x:hyperlink ref="V28" r:id="rIdHyperlink48"/>
    <x:hyperlink ref="U29" r:id="rIdHyperlink49"/>
    <x:hyperlink ref="V29" r:id="rIdHyperlink50"/>
    <x:hyperlink ref="U30" r:id="rIdHyperlink51"/>
    <x:hyperlink ref="V30" r:id="rIdHyperlink52"/>
    <x:hyperlink ref="U31" r:id="rIdHyperlink53"/>
    <x:hyperlink ref="V31" r:id="rIdHyperlink54"/>
    <x:hyperlink ref="U32" r:id="rIdHyperlink55"/>
    <x:hyperlink ref="V32" r:id="rIdHyperlink56"/>
    <x:hyperlink ref="U33" r:id="rIdHyperlink57"/>
    <x:hyperlink ref="V33" r:id="rIdHyperlink58"/>
    <x:hyperlink ref="U34" r:id="rIdHyperlink59"/>
    <x:hyperlink ref="V34" r:id="rIdHyperlink60"/>
    <x:hyperlink ref="U35" r:id="rIdHyperlink61"/>
    <x:hyperlink ref="V35" r:id="rIdHyperlink62"/>
    <x:hyperlink ref="U36" r:id="rIdHyperlink63"/>
    <x:hyperlink ref="V36" r:id="rIdHyperlink64"/>
    <x:hyperlink ref="U37" r:id="rIdHyperlink65"/>
    <x:hyperlink ref="V37" r:id="rIdHyperlink66"/>
    <x:hyperlink ref="U38" r:id="rIdHyperlink67"/>
    <x:hyperlink ref="V38" r:id="rIdHyperlink68"/>
    <x:hyperlink ref="U39" r:id="rIdHyperlink69"/>
    <x:hyperlink ref="V39" r:id="rIdHyperlink70"/>
    <x:hyperlink ref="U40" r:id="rIdHyperlink71"/>
    <x:hyperlink ref="V40" r:id="rIdHyperlink72"/>
    <x:hyperlink ref="U41" r:id="rIdHyperlink73"/>
    <x:hyperlink ref="V41" r:id="rIdHyperlink74"/>
    <x:hyperlink ref="U42" r:id="rIdHyperlink75"/>
    <x:hyperlink ref="V42" r:id="rIdHyperlink76"/>
    <x:hyperlink ref="U43" r:id="rIdHyperlink77"/>
    <x:hyperlink ref="V43" r:id="rIdHyperlink78"/>
    <x:hyperlink ref="U44" r:id="rIdHyperlink79"/>
    <x:hyperlink ref="V44" r:id="rIdHyperlink80"/>
    <x:hyperlink ref="U45" r:id="rIdHyperlink81"/>
    <x:hyperlink ref="V45" r:id="rIdHyperlink82"/>
    <x:hyperlink ref="U46" r:id="rIdHyperlink83"/>
    <x:hyperlink ref="V46" r:id="rIdHyperlink84"/>
    <x:hyperlink ref="U47" r:id="rIdHyperlink85"/>
    <x:hyperlink ref="V47" r:id="rIdHyperlink86"/>
    <x:hyperlink ref="U48" r:id="rIdHyperlink87"/>
    <x:hyperlink ref="V48" r:id="rIdHyperlink88"/>
    <x:hyperlink ref="U49" r:id="rIdHyperlink89"/>
    <x:hyperlink ref="V49" r:id="rIdHyperlink90"/>
    <x:hyperlink ref="U50" r:id="rIdHyperlink91"/>
    <x:hyperlink ref="V50" r:id="rIdHyperlink92"/>
    <x:hyperlink ref="U51" r:id="rIdHyperlink93"/>
    <x:hyperlink ref="V51" r:id="rIdHyperlink94"/>
    <x:hyperlink ref="U52" r:id="rIdHyperlink95"/>
    <x:hyperlink ref="V52" r:id="rIdHyperlink96"/>
    <x:hyperlink ref="U53" r:id="rIdHyperlink97"/>
    <x:hyperlink ref="V53" r:id="rIdHyperlink98"/>
    <x:hyperlink ref="U54" r:id="rIdHyperlink99"/>
    <x:hyperlink ref="V54" r:id="rIdHyperlink100"/>
    <x:hyperlink ref="U55" r:id="rIdHyperlink101"/>
    <x:hyperlink ref="V55" r:id="rIdHyperlink102"/>
    <x:hyperlink ref="U56" r:id="rIdHyperlink103"/>
    <x:hyperlink ref="V56" r:id="rIdHyperlink104"/>
    <x:hyperlink ref="U57" r:id="rIdHyperlink105"/>
    <x:hyperlink ref="V57" r:id="rIdHyperlink106"/>
    <x:hyperlink ref="U58" r:id="rIdHyperlink107"/>
    <x:hyperlink ref="V58" r:id="rIdHyperlink108"/>
    <x:hyperlink ref="U59" r:id="rIdHyperlink109"/>
    <x:hyperlink ref="V59" r:id="rIdHyperlink110"/>
  </x:hyperlinks>
  <x:tableParts count="1">
    <x:tablePart xmlns:r="http://schemas.openxmlformats.org/officeDocument/2006/relationships" r:id="R1a5c3514a66f4d2b"/>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8" hidden="0" customWidth="1"/>
    <x:col min="4" max="4" width="24" hidden="0" customWidth="1"/>
    <x:col min="7" max="7" width="24" hidden="0" customWidth="1"/>
    <x:col min="2" max="2" width="12" hidden="0" customWidth="1"/>
    <x:col min="5" max="5" width="12" hidden="0" customWidth="1"/>
    <x:col min="8" max="8" width="12" hidden="0" customWidth="1"/>
  </x:cols>
  <x:sheetData>
    <x:row r="1" ht="40" customHeight="1">
      <x:c r="A1" s="3" t="str">
        <x:v>编程、数学、数据分析和可视化｜大分类总览｜分类统计</x:v>
      </x:c>
      <x:c r="B1" s="3"/>
      <x:c r="C1" s="3"/>
      <x:c r="D1" s="3"/>
      <x:c r="E1" s="3"/>
      <x:c r="F1" s="3"/>
      <x:c r="G1" s="3"/>
      <x:c r="H1" s="3"/>
    </x:row>
    <x:row r="2" ht="28" customHeight="1">
      <x:c r="A2" s="7" t="str">
        <x:v>数量均由“AI技能清单”公式计算，可随清单更新；不把统计结果写死。</x:v>
      </x:c>
      <x:c r="B2" s="7"/>
      <x:c r="C2" s="7"/>
      <x:c r="D2" s="7"/>
      <x:c r="E2" s="7"/>
      <x:c r="F2" s="7"/>
      <x:c r="G2" s="7"/>
      <x:c r="H2" s="7"/>
    </x:row>
    <x:row r="3">
      <x:c r="A3" s="43" t="str">
        <x:v>收录 Skill</x:v>
      </x:c>
      <x:c r="B3" s="48" t="n">
        <x:f>COUNTA('AI技能清单'!$N$5:$N$59)</x:f>
        <x:v>55</x:v>
      </x:c>
      <x:c r="C3" s="49"/>
      <x:c r="D3" s="49"/>
      <x:c r="E3" s="49"/>
      <x:c r="F3" s="49"/>
      <x:c r="G3" s="49"/>
      <x:c r="H3" s="49"/>
    </x:row>
    <x:row r="4">
      <x:c r="B4" s="49"/>
      <x:c r="C4" s="49"/>
      <x:c r="D4" s="49"/>
      <x:c r="E4" s="49"/>
      <x:c r="F4" s="49"/>
      <x:c r="G4" s="49"/>
      <x:c r="H4" s="49"/>
    </x:row>
    <x:row r="5">
      <x:c r="A5" s="13" t="str">
        <x:v>小分类</x:v>
      </x:c>
      <x:c r="B5" s="50" t="str">
        <x:v>数量</x:v>
      </x:c>
      <x:c r="C5" s="51"/>
      <x:c r="D5" s="50" t="str">
        <x:v>推荐程度</x:v>
      </x:c>
      <x:c r="E5" s="50" t="str">
        <x:v>数量</x:v>
      </x:c>
      <x:c r="F5" s="51"/>
      <x:c r="G5" s="50" t="str">
        <x:v>接入难度</x:v>
      </x:c>
      <x:c r="H5" s="50" t="str">
        <x:v>数量</x:v>
      </x:c>
    </x:row>
    <x:row r="6">
      <x:c r="A6" s="47" t="str">
        <x:v>05-01 计算设备与资源规划</x:v>
      </x:c>
      <x:c r="B6" s="52" t="n">
        <x:f>COUNTIF('AI技能清单'!$B$5:$B$59,A6)</x:f>
        <x:v>1</x:v>
      </x:c>
      <x:c r="C6" s="51"/>
      <x:c r="D6" s="52" t="str">
        <x:v>高</x:v>
      </x:c>
      <x:c r="E6" s="52" t="n">
        <x:f>COUNTIF('AI技能清单'!$I$5:$I$59,D6)</x:f>
        <x:v>13</x:v>
      </x:c>
      <x:c r="F6" s="51"/>
      <x:c r="G6" s="52" t="str">
        <x:v>A｜调整少</x:v>
      </x:c>
      <x:c r="H6" s="52" t="n">
        <x:f>COUNTIF('AI技能清单'!$J$5:$J$59,G6)</x:f>
        <x:v>31</x:v>
      </x:c>
    </x:row>
    <x:row r="7">
      <x:c r="A7" s="47" t="str">
        <x:v>05-02 数据检查、清理与质量控制</x:v>
      </x:c>
      <x:c r="B7" s="52" t="n">
        <x:f>COUNTIF('AI技能清单'!$B$5:$B$59,A7)</x:f>
        <x:v>2</x:v>
      </x:c>
      <x:c r="C7" s="51"/>
      <x:c r="D7" s="52" t="str">
        <x:v>中</x:v>
      </x:c>
      <x:c r="E7" s="52" t="n">
        <x:f>COUNTIF('AI技能清单'!$I$5:$I$59,D7)</x:f>
        <x:v>42</x:v>
      </x:c>
      <x:c r="F7" s="51"/>
      <x:c r="G7" s="52" t="str">
        <x:v>B｜少量调整</x:v>
      </x:c>
      <x:c r="H7" s="52" t="n">
        <x:f>COUNTIF('AI技能清单'!$J$5:$J$59,G7)</x:f>
        <x:v>24</x:v>
      </x:c>
    </x:row>
    <x:row r="8">
      <x:c r="A8" s="47" t="str">
        <x:v>05-03 表格与大型数据处理</x:v>
      </x:c>
      <x:c r="B8" s="52" t="n">
        <x:f>COUNTIF('AI技能清单'!$B$5:$B$59,A8)</x:f>
        <x:v>2</x:v>
      </x:c>
      <x:c r="C8" s="51"/>
      <x:c r="D8" s="52" t="str">
        <x:v>其他</x:v>
      </x:c>
      <x:c r="E8" s="52" t="n">
        <x:f>COUNTIF('AI技能清单'!$I$5:$I$59,"&lt;&gt;高")-COUNTIF('AI技能清单'!$I$5:$I$59,"中")</x:f>
        <x:v>0</x:v>
      </x:c>
      <x:c r="F8" s="51"/>
      <x:c r="G8" s="52" t="str">
        <x:v>C｜较多调整</x:v>
      </x:c>
      <x:c r="H8" s="52" t="n">
        <x:f>COUNTIF('AI技能清单'!$J$5:$J$59,G8)</x:f>
        <x:v>0</x:v>
      </x:c>
    </x:row>
    <x:row r="9">
      <x:c r="A9" s="47" t="str">
        <x:v>05-04 数据存储、数据库与查询优化</x:v>
      </x:c>
      <x:c r="B9" s="52" t="n">
        <x:f>COUNTIF('AI技能清单'!$B$5:$B$59,A9)</x:f>
        <x:v>4</x:v>
      </x:c>
      <x:c r="C9" s="51"/>
      <x:c r="D9" s="51"/>
      <x:c r="E9" s="51"/>
      <x:c r="F9" s="51"/>
      <x:c r="G9" s="52" t="str">
        <x:v>D｜仅参考</x:v>
      </x:c>
      <x:c r="H9" s="52" t="n">
        <x:f>COUNTIF('AI技能清单'!$J$5:$J$59,G9)</x:f>
        <x:v>0</x:v>
      </x:c>
    </x:row>
    <x:row r="10">
      <x:c r="A10" s="47" t="str">
        <x:v>05-05 并行计算与性能优化</x:v>
      </x:c>
      <x:c r="B10" s="52" t="n">
        <x:f>COUNTIF('AI技能清单'!$B$5:$B$59,A10)</x:f>
        <x:v>5</x:v>
      </x:c>
      <x:c r="C10" s="51"/>
      <x:c r="D10" s="51"/>
      <x:c r="E10" s="51"/>
      <x:c r="F10" s="51"/>
      <x:c r="G10" s="51"/>
      <x:c r="H10" s="51"/>
    </x:row>
    <x:row r="11">
      <x:c r="A11" s="47" t="str">
        <x:v>05-06 基础统计分析与结果报告</x:v>
      </x:c>
      <x:c r="B11" s="52" t="n">
        <x:f>COUNTIF('AI技能清单'!$B$5:$B$59,A11)</x:f>
        <x:v>1</x:v>
      </x:c>
      <x:c r="C11" s="51"/>
      <x:c r="D11" s="51"/>
      <x:c r="E11" s="51"/>
      <x:c r="F11" s="51"/>
      <x:c r="G11" s="51"/>
      <x:c r="H11" s="51"/>
    </x:row>
    <x:row r="12">
      <x:c r="A12" s="47" t="str">
        <x:v>05-07 回归、时间序列与统计建模</x:v>
      </x:c>
      <x:c r="B12" s="52" t="n">
        <x:f>COUNTIF('AI技能清单'!$B$5:$B$59,A12)</x:f>
        <x:v>2</x:v>
      </x:c>
      <x:c r="C12" s="51"/>
      <x:c r="D12" s="51"/>
      <x:c r="E12" s="51"/>
      <x:c r="F12" s="51"/>
      <x:c r="G12" s="51"/>
      <x:c r="H12" s="51"/>
    </x:row>
    <x:row r="13">
      <x:c r="A13" s="47" t="str">
        <x:v>05-08 贝叶斯分析、因果分析与实验设计</x:v>
      </x:c>
      <x:c r="B13" s="52" t="n">
        <x:f>COUNTIF('AI技能清单'!$B$5:$B$59,A13)</x:f>
        <x:v>5</x:v>
      </x:c>
      <x:c r="C13" s="51"/>
      <x:c r="D13" s="51"/>
      <x:c r="E13" s="51"/>
      <x:c r="F13" s="51"/>
      <x:c r="G13" s="51"/>
      <x:c r="H13" s="51"/>
    </x:row>
    <x:row r="14">
      <x:c r="A14" s="47" t="str">
        <x:v>05-09 机器学习建模、解释与评估</x:v>
      </x:c>
      <x:c r="B14" s="52" t="n">
        <x:f>COUNTIF('AI技能清单'!$B$5:$B$59,A14)</x:f>
        <x:v>3</x:v>
      </x:c>
      <x:c r="C14" s="51"/>
      <x:c r="D14" s="51"/>
      <x:c r="E14" s="51"/>
      <x:c r="F14" s="51"/>
      <x:c r="G14" s="51"/>
      <x:c r="H14" s="51"/>
    </x:row>
    <x:row r="15">
      <x:c r="A15" s="47" t="str">
        <x:v>05-10 深度学习与大语言模型应用</x:v>
      </x:c>
      <x:c r="B15" s="52" t="n">
        <x:f>COUNTIF('AI技能清单'!$B$5:$B$59,A15)</x:f>
        <x:v>2</x:v>
      </x:c>
      <x:c r="C15" s="51"/>
      <x:c r="D15" s="51"/>
      <x:c r="E15" s="51"/>
      <x:c r="F15" s="51"/>
      <x:c r="G15" s="51"/>
      <x:c r="H15" s="51"/>
    </x:row>
    <x:row r="16">
      <x:c r="A16" s="47" t="str">
        <x:v>05-11 数学计算、单位与误差</x:v>
      </x:c>
      <x:c r="B16" s="52" t="n">
        <x:f>COUNTIF('AI技能清单'!$B$5:$B$59,A16)</x:f>
        <x:v>3</x:v>
      </x:c>
      <x:c r="C16" s="51"/>
      <x:c r="D16" s="51"/>
      <x:c r="E16" s="51"/>
      <x:c r="F16" s="51"/>
      <x:c r="G16" s="51"/>
      <x:c r="H16" s="51"/>
    </x:row>
    <x:row r="17">
      <x:c r="A17" s="47" t="str">
        <x:v>05-12 仿真与多目标优化</x:v>
      </x:c>
      <x:c r="B17" s="52" t="n">
        <x:f>COUNTIF('AI技能清单'!$B$5:$B$59,A17)</x:f>
        <x:v>2</x:v>
      </x:c>
      <x:c r="C17" s="51"/>
      <x:c r="D17" s="51"/>
      <x:c r="E17" s="51"/>
      <x:c r="F17" s="51"/>
      <x:c r="G17" s="51"/>
      <x:c r="H17" s="51"/>
    </x:row>
    <x:row r="18">
      <x:c r="A18" s="47" t="str">
        <x:v>05-13 形式化数学证明</x:v>
      </x:c>
      <x:c r="B18" s="52" t="n">
        <x:f>COUNTIF('AI技能清单'!$B$5:$B$59,A18)</x:f>
        <x:v>2</x:v>
      </x:c>
      <x:c r="C18" s="51"/>
      <x:c r="D18" s="51"/>
      <x:c r="E18" s="51"/>
      <x:c r="F18" s="51"/>
      <x:c r="G18" s="51"/>
      <x:c r="H18" s="51"/>
    </x:row>
    <x:row r="19">
      <x:c r="A19" s="47" t="str">
        <x:v>05-14 基础绘图与科学图表</x:v>
      </x:c>
      <x:c r="B19" s="52" t="n">
        <x:f>COUNTIF('AI技能清单'!$B$5:$B$59,A19)</x:f>
        <x:v>3</x:v>
      </x:c>
      <x:c r="C19" s="51"/>
      <x:c r="D19" s="51"/>
      <x:c r="E19" s="51"/>
      <x:c r="F19" s="51"/>
      <x:c r="G19" s="51"/>
      <x:c r="H19" s="51"/>
    </x:row>
    <x:row r="20">
      <x:c r="A20" s="47" t="str">
        <x:v>05-15 地图、网络与交互式可视化</x:v>
      </x:c>
      <x:c r="B20" s="52" t="n">
        <x:f>COUNTIF('AI技能清单'!$B$5:$B$59,A20)</x:f>
        <x:v>5</x:v>
      </x:c>
      <x:c r="C20" s="51"/>
      <x:c r="D20" s="51"/>
      <x:c r="E20" s="51"/>
      <x:c r="F20" s="51"/>
      <x:c r="G20" s="51"/>
      <x:c r="H20" s="51"/>
    </x:row>
    <x:row r="21">
      <x:c r="A21" s="47" t="str">
        <x:v>05-16 数据故事与分析结果表达</x:v>
      </x:c>
      <x:c r="B21" s="52" t="n">
        <x:f>COUNTIF('AI技能清单'!$B$5:$B$59,A21)</x:f>
        <x:v>3</x:v>
      </x:c>
      <x:c r="C21" s="51"/>
      <x:c r="D21" s="51"/>
      <x:c r="E21" s="51"/>
      <x:c r="F21" s="51"/>
      <x:c r="G21" s="51"/>
      <x:c r="H21" s="51"/>
    </x:row>
    <x:row r="22">
      <x:c r="A22" s="47" t="str">
        <x:v>05-17 调试与错误处理</x:v>
      </x:c>
      <x:c r="B22" s="52" t="n">
        <x:f>COUNTIF('AI技能清单'!$B$5:$B$59,A22)</x:f>
        <x:v>2</x:v>
      </x:c>
      <x:c r="C22" s="51"/>
      <x:c r="D22" s="51"/>
      <x:c r="E22" s="51"/>
      <x:c r="F22" s="51"/>
      <x:c r="G22" s="51"/>
      <x:c r="H22" s="51"/>
    </x:row>
    <x:row r="23">
      <x:c r="A23" s="47" t="str">
        <x:v>05-18 软件测试</x:v>
      </x:c>
      <x:c r="B23" s="52" t="n">
        <x:f>COUNTIF('AI技能清单'!$B$5:$B$59,A23)</x:f>
        <x:v>3</x:v>
      </x:c>
      <x:c r="C23" s="51"/>
      <x:c r="D23" s="51"/>
      <x:c r="E23" s="51"/>
      <x:c r="F23" s="51"/>
      <x:c r="G23" s="51"/>
      <x:c r="H23" s="51"/>
    </x:row>
    <x:row r="24">
      <x:c r="A24" s="47" t="str">
        <x:v>05-19 代码审查、代码规范与项目结构</x:v>
      </x:c>
      <x:c r="B24" s="52" t="n">
        <x:f>COUNTIF('AI技能清单'!$B$5:$B$59,A24)</x:f>
        <x:v>4</x:v>
      </x:c>
      <x:c r="C24" s="51"/>
      <x:c r="D24" s="51"/>
      <x:c r="E24" s="51"/>
      <x:c r="F24" s="51"/>
      <x:c r="G24" s="51"/>
      <x:c r="H24" s="51"/>
    </x:row>
    <x:row r="25">
      <x:c r="A25" s="47" t="str">
        <x:v>05-20 数据处理流程与机器学习工程</x:v>
      </x:c>
      <x:c r="B25" s="52" t="n">
        <x:f>COUNTIF('AI技能清单'!$B$5:$B$59,A25)</x:f>
        <x:v>1</x:v>
      </x:c>
      <x:c r="C25" s="51"/>
      <x:c r="D25" s="51"/>
      <x:c r="E25" s="51"/>
      <x:c r="F25" s="51"/>
      <x:c r="G25" s="51"/>
      <x:c r="H25" s="51"/>
    </x:row>
  </x:sheetData>
  <x:mergeCells>
    <x:mergeCell ref="A1:H1"/>
    <x:mergeCell ref="A2:H2"/>
  </x:mergeCells>
  <x:pageMargins left="0.7" right="0.7" top="0.75" bottom="0.75" header="0.3" footer="0.3"/>
</x:worksheet>
</file>

<file path=xl/worksheets/sheet4.xml><?xml version="1.0" encoding="utf-8"?>
<x:worksheet xmlns:x="http://schemas.openxmlformats.org/spreadsheetml/2006/main" xmlns:r="http://schemas.openxmlformats.org/officeDocument/2006/relationships">
  <x:sheetViews>
    <x:sheetView showGridLines="0" workbookViewId="0">
      <x:pane xSplit="1" ySplit="4" topLeftCell="B5" activePane="bottomRight" state="frozen"/>
    </x:sheetView>
  </x:sheetViews>
  <x:sheetFormatPr defaultRowHeight="15"/>
  <x:cols>
    <x:col min="1" max="1" width="38" hidden="0" customWidth="1"/>
    <x:col min="2" max="2" width="58" hidden="0" customWidth="1"/>
    <x:col min="3" max="3" width="32" hidden="0" customWidth="1"/>
    <x:col min="4" max="4" width="20" hidden="0" customWidth="1"/>
    <x:col min="5" max="5" width="18" hidden="0" customWidth="1"/>
    <x:col min="6" max="6" width="16" hidden="0" customWidth="1"/>
    <x:col min="7" max="7" width="14" hidden="0" customWidth="1"/>
  </x:cols>
  <x:sheetData>
    <x:row r="1" ht="40" customHeight="1">
      <x:c r="A1" s="3" t="str">
        <x:v>编程、数学、数据分析和可视化｜大分类总览｜来源清单</x:v>
      </x:c>
      <x:c r="B1" s="3"/>
      <x:c r="C1" s="3"/>
      <x:c r="D1" s="3"/>
      <x:c r="E1" s="3"/>
      <x:c r="F1" s="3"/>
      <x:c r="G1" s="3"/>
    </x:row>
    <x:row r="2" ht="28" customHeight="1">
      <x:c r="A2" s="7" t="str">
        <x:v>每个仓库只列一次；入选数量由“AI技能清单”的仓库地址公式计算。许可证以具体目录和当前仓库文件为准。</x:v>
      </x:c>
      <x:c r="B2" s="7"/>
      <x:c r="C2" s="7"/>
      <x:c r="D2" s="7"/>
      <x:c r="E2" s="7"/>
      <x:c r="F2" s="7"/>
      <x:c r="G2" s="7"/>
    </x:row>
    <x:row r="4" ht="34" customHeight="1">
      <x:c r="A4" s="13" t="str">
        <x:v>仓库名称</x:v>
      </x:c>
      <x:c r="B4" s="13" t="str">
        <x:v>仓库地址</x:v>
      </x:c>
      <x:c r="C4" s="13" t="str">
        <x:v>来源形态</x:v>
      </x:c>
      <x:c r="D4" s="13" t="str">
        <x:v>许可证</x:v>
      </x:c>
      <x:c r="E4" s="13" t="str">
        <x:v>GitHub 关注数</x:v>
      </x:c>
      <x:c r="F4" s="13" t="str">
        <x:v>最近更新</x:v>
      </x:c>
      <x:c r="G4" s="13" t="str">
        <x:v>入选数量</x:v>
      </x:c>
    </x:row>
    <x:row r="5" ht="68" customHeight="1">
      <x:c r="A5" s="35" t="str">
        <x:v>K-Dense-AI/scientific-agent-skills</x:v>
      </x:c>
      <x:c r="B5" s="35" t="str">
        <x:v>https://github.com/K-Dense-AI/scientific-agent-skills</x:v>
      </x:c>
      <x:c r="C5" s="35" t="str">
        <x:v>社区 skill、GitHub 开源仓库</x:v>
      </x:c>
      <x:c r="D5" s="35" t="str">
        <x:v>MIT</x:v>
      </x:c>
      <x:c r="E5" s="56" t="n">
        <x:v>32822</x:v>
      </x:c>
      <x:c r="F5" s="57" t="n">
        <x:v>46237</x:v>
      </x:c>
      <x:c r="G5" s="38" t="n">
        <x:f>COUNTIF('AI技能清单'!$V$5:$V$59,B5)</x:f>
        <x:v>27</x:v>
      </x:c>
    </x:row>
    <x:row r="6" ht="68" customHeight="1">
      <x:c r="A6" s="35" t="str">
        <x:v>leanprover/skills</x:v>
      </x:c>
      <x:c r="B6" s="35" t="str">
        <x:v>https://github.com/leanprover/skills</x:v>
      </x:c>
      <x:c r="C6" s="35" t="str">
        <x:v>社区 skill、GitHub 开源仓库</x:v>
      </x:c>
      <x:c r="D6" s="35" t="str">
        <x:v>Apache-2.0</x:v>
      </x:c>
      <x:c r="E6" s="56" t="n">
        <x:v>61</x:v>
      </x:c>
      <x:c r="F6" s="57" t="n">
        <x:v>46078</x:v>
      </x:c>
      <x:c r="G6" s="38" t="n">
        <x:f>COUNTIF('AI技能清单'!$V$5:$V$59,B6)</x:f>
        <x:v>2</x:v>
      </x:c>
    </x:row>
    <x:row r="7" ht="68" customHeight="1">
      <x:c r="A7" s="35" t="str">
        <x:v>lyndonkl/claude</x:v>
      </x:c>
      <x:c r="B7" s="35" t="str">
        <x:v>https://github.com/lyndonkl/claude</x:v>
      </x:c>
      <x:c r="C7" s="35" t="str">
        <x:v>社区 skill、GitHub 公开仓库（许可证待核）</x:v>
      </x:c>
      <x:c r="D7" s="35" t="str">
        <x:v>未明确</x:v>
      </x:c>
      <x:c r="E7" s="56" t="n">
        <x:v>141</x:v>
      </x:c>
      <x:c r="F7" s="57" t="n">
        <x:v>46238</x:v>
      </x:c>
      <x:c r="G7" s="38" t="n">
        <x:f>COUNTIF('AI技能清单'!$V$5:$V$59,B7)</x:f>
        <x:v>5</x:v>
      </x:c>
    </x:row>
    <x:row r="8" ht="68" customHeight="1">
      <x:c r="A8" s="35" t="str">
        <x:v>markdown-viewer/skills</x:v>
      </x:c>
      <x:c r="B8" s="35" t="str">
        <x:v>https://github.com/markdown-viewer/skills</x:v>
      </x:c>
      <x:c r="C8" s="35" t="str">
        <x:v>社区 skill、GitHub 公开仓库（许可证待核）</x:v>
      </x:c>
      <x:c r="D8" s="35" t="str">
        <x:v>未明确</x:v>
      </x:c>
      <x:c r="E8" s="56" t="n">
        <x:v>3116</x:v>
      </x:c>
      <x:c r="F8" s="57" t="n">
        <x:v>46168</x:v>
      </x:c>
      <x:c r="G8" s="38" t="n">
        <x:f>COUNTIF('AI技能清单'!$V$5:$V$59,B8)</x:f>
        <x:v>3</x:v>
      </x:c>
    </x:row>
    <x:row r="9" ht="68" customHeight="1">
      <x:c r="A9" s="35" t="str">
        <x:v>obra/superpowers</x:v>
      </x:c>
      <x:c r="B9" s="35" t="str">
        <x:v>https://github.com/obra/superpowers</x:v>
      </x:c>
      <x:c r="C9" s="35" t="str">
        <x:v>社区 skill、GitHub 开源仓库</x:v>
      </x:c>
      <x:c r="D9" s="35" t="str">
        <x:v>MIT</x:v>
      </x:c>
      <x:c r="E9" s="56" t="n">
        <x:v>267788</x:v>
      </x:c>
      <x:c r="F9" s="57" t="n">
        <x:v>46240</x:v>
      </x:c>
      <x:c r="G9" s="38" t="n">
        <x:f>COUNTIF('AI技能清单'!$V$5:$V$59,B9)</x:f>
        <x:v>4</x:v>
      </x:c>
    </x:row>
    <x:row r="10" ht="68" customHeight="1">
      <x:c r="A10" s="35" t="str">
        <x:v>wshobson/agents</x:v>
      </x:c>
      <x:c r="B10" s="35" t="str">
        <x:v>https://github.com/wshobson/agents</x:v>
      </x:c>
      <x:c r="C10" s="35" t="str">
        <x:v>社区 skill、GitHub 开源仓库</x:v>
      </x:c>
      <x:c r="D10" s="35" t="str">
        <x:v>MIT</x:v>
      </x:c>
      <x:c r="E10" s="56" t="n">
        <x:v>38534</x:v>
      </x:c>
      <x:c r="F10" s="57" t="n">
        <x:v>46239</x:v>
      </x:c>
      <x:c r="G10" s="38" t="n">
        <x:f>COUNTIF('AI技能清单'!$V$5:$V$59,B10)</x:f>
        <x:v>14</x:v>
      </x:c>
    </x:row>
  </x:sheetData>
  <x:mergeCells>
    <x:mergeCell ref="A1:G1"/>
    <x:mergeCell ref="A2:G2"/>
  </x:mergeCells>
  <x:pageMargins left="0.7" right="0.7" top="0.75" bottom="0.75" header="0.3" footer="0.3"/>
  <x:hyperlinks>
    <x:hyperlink ref="B5" r:id="rIdHyperlink1"/>
    <x:hyperlink ref="B6" r:id="rIdHyperlink2"/>
    <x:hyperlink ref="B7" r:id="rIdHyperlink3"/>
    <x:hyperlink ref="B8" r:id="rIdHyperlink4"/>
    <x:hyperlink ref="B9" r:id="rIdHyperlink5"/>
    <x:hyperlink ref="B10" r:id="rIdHyperlink6"/>
  </x:hyperlinks>
  <x:tableParts count="1">
    <x:tablePart xmlns:r="http://schemas.openxmlformats.org/officeDocument/2006/relationships" r:id="R9991fadafa90478b"/>
  </x:tableParts>
</x:worksheet>
</file>