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5c4f1ac68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31b9f0a934304baa"/>
    <x:sheet xmlns:r="http://schemas.openxmlformats.org/officeDocument/2006/relationships" name="AI技能清单" sheetId="2" r:id="R76fadef54a2f4d4e"/>
    <x:sheet xmlns:r="http://schemas.openxmlformats.org/officeDocument/2006/relationships" name="分类统计" sheetId="3" r:id="R7f7d9f89b6dd48ad"/>
    <x:sheet xmlns:r="http://schemas.openxmlformats.org/officeDocument/2006/relationships" name="来源清单" sheetId="4" r:id="Racc5d782d2b1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4d62be7ca4774" /><Relationship Type="http://schemas.openxmlformats.org/officeDocument/2006/relationships/theme" Target="/xl/theme/theme1.xml" Id="R38ef1a60b468453d" /><Relationship Type="http://schemas.openxmlformats.org/officeDocument/2006/relationships/sharedStrings" Target="/xl/sharedStrings.xml" Id="R99bd0a81c5c64f2e" /><Relationship Type="http://schemas.openxmlformats.org/officeDocument/2006/relationships/worksheet" Target="/xl/worksheets/sheet1.xml" Id="R31b9f0a934304baa" /><Relationship Type="http://schemas.openxmlformats.org/officeDocument/2006/relationships/worksheet" Target="/xl/worksheets/sheet2.xml" Id="R76fadef54a2f4d4e" /><Relationship Type="http://schemas.openxmlformats.org/officeDocument/2006/relationships/worksheet" Target="/xl/worksheets/sheet3.xml" Id="R7f7d9f89b6dd48ad" /><Relationship Type="http://schemas.openxmlformats.org/officeDocument/2006/relationships/worksheet" Target="/xl/worksheets/sheet4.xml" Id="Racc5d782d2b1405a" /></Relationships>
</file>

<file path=xl/tables/table1.xml><?xml version="1.0" encoding="utf-8"?>
<x:table xmlns:x="http://schemas.openxmlformats.org/spreadsheetml/2006/main" id="1" name="SkillTable0516" displayName="SkillTable0516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6" displayName="SourceTable0516" ref="A4:G7" headerRowCount="1" totalsRowCount="0" totalsRowShown="0">
  <x:autoFilter ref="A4:G7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a60f40c602447d" /><Relationship Id="rIdHyperlink1" Type="http://schemas.openxmlformats.org/officeDocument/2006/relationships/hyperlink" Target="https://github.com/wshobson/agents/blob/main/plugins/business-analytics/skills/data-storytelling/SKILL.md" TargetMode="External" /><Relationship Id="rIdHyperlink2" Type="http://schemas.openxmlformats.org/officeDocument/2006/relationships/hyperlink" Target="https://github.com/wshobson/agents" TargetMode="External" /><Relationship Id="rIdHyperlink3" Type="http://schemas.openxmlformats.org/officeDocument/2006/relationships/hyperlink" Target="https://github.com/markdown-viewer/skills/blob/main/data-analytics/SKILL.md" TargetMode="External" /><Relationship Id="rIdHyperlink4" Type="http://schemas.openxmlformats.org/officeDocument/2006/relationships/hyperlink" Target="https://github.com/markdown-viewer/skills" TargetMode="External" /><Relationship Id="rIdHyperlink5" Type="http://schemas.openxmlformats.org/officeDocument/2006/relationships/hyperlink" Target="https://github.com/lyndonkl/claude/blob/main/skills/visualization-choice-reporting/SKILL.md" TargetMode="External" /><Relationship Id="rIdHyperlink6" Type="http://schemas.openxmlformats.org/officeDocument/2006/relationships/hyperlink" Target="https://github.com/lyndonkl/claude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47e5b9a2c8b4034" /><Relationship Id="rIdHyperlink1" Type="http://schemas.openxmlformats.org/officeDocument/2006/relationships/hyperlink" Target="https://github.com/lyndonkl/claude" TargetMode="External" /><Relationship Id="rIdHyperlink2" Type="http://schemas.openxmlformats.org/officeDocument/2006/relationships/hyperlink" Target="https://github.com/markdown-viewer/skills" TargetMode="External" /><Relationship Id="rIdHyperlink3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05-16 数据故事与分析结果表达｜小分类清单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05-16 数据故事与分析结果表达｜小分类清单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05-16 数据故事与分析结果表达</x:v>
      </x:c>
      <x:c r="C5" s="38" t="str">
        <x:v>数据叙事与洞察表达</x:v>
      </x:c>
      <x:c r="D5" s="35" t="str">
        <x:v>把分析结论组织为面向特定受众的背景、冲突、洞察和行动建议。</x:v>
      </x:c>
      <x:c r="E5" s="35" t="str">
        <x:v>适合学生、教师、数据工程与开发人员使用。</x:v>
      </x:c>
      <x:c r="F5" s="35" t="str">
        <x:v>分析已经完成，但需要把发现讲给管理者、教师或其他特定读者并推动行动时使用。</x:v>
      </x:c>
      <x:c r="G5" s="35" t="str">
        <x:v>需要准备可靠分析结果、目标读者、沟通目的和能够支撑结论的图表。</x:v>
      </x:c>
      <x:c r="H5" s="35" t="str">
        <x:v>需要注意：故事结构不能掩盖不确定性，也不能把相关关系写成因果结论。</x:v>
      </x:c>
      <x:c r="I5" s="37" t="str">
        <x:v>高</x:v>
      </x:c>
      <x:c r="J5" s="37" t="str">
        <x:v>B｜少量调整</x:v>
      </x:c>
      <x:c r="K5" s="35" t="str">
        <x:v>把背景、冲突、洞察和建议写入报告提纲，并让数据负责人核对每项主张。</x:v>
      </x:c>
      <x:c r="L5" s="35" t="str">
        <x:v>包内容已核验：已核对用途说明和包内文件；本次未安装、未运行，不能据此判断实际效果。</x:v>
      </x:c>
      <x:c r="M5" s="39" t="str">
        <x:v>data-storytelling</x:v>
      </x:c>
      <x:c r="N5" s="39" t="str">
        <x:v>GH-05-0032</x:v>
      </x:c>
      <x:c r="O5" s="36" t="str">
        <x:v>数据故事、受众、叙事结构、图表、建议</x:v>
      </x:c>
      <x:c r="P5" s="36" t="str">
        <x:v>多智能体生态（Codex、Claude Code、Cursor、Gemini CLI 等）</x:v>
      </x:c>
      <x:c r="Q5" s="36" t="str">
        <x:v>社区 skill、GitHub 开源仓库</x:v>
      </x:c>
      <x:c r="R5" s="39" t="str">
        <x:v>MIT</x:v>
      </x:c>
      <x:c r="S5" s="41" t="n">
        <x:v>38534</x:v>
      </x:c>
      <x:c r="T5" s="42" t="n">
        <x:v>46239</x:v>
      </x:c>
      <x:c r="U5" s="36" t="str">
        <x:v>https://github.com/wshobson/agents/blob/main/plugins/business-analytics/skills/data-storytelling/SKILL.md</x:v>
      </x:c>
      <x:c r="V5" s="36" t="str">
        <x:v>https://github.com/wshobson/agents</x:v>
      </x:c>
    </x:row>
    <x:row r="6" ht="92" customHeight="1">
      <x:c r="A6" s="37" t="n">
        <x:v>2</x:v>
      </x:c>
      <x:c r="B6" s="38" t="str">
        <x:v>05-16 数据故事与分析结果表达</x:v>
      </x:c>
      <x:c r="C6" s="38" t="str">
        <x:v>数据分析架构图生成</x:v>
      </x:c>
      <x:c r="D6" s="35" t="str">
        <x:v>按照规定的图形元素，生成数据处理流程图和系统结构图。</x:v>
      </x:c>
      <x:c r="E6" s="35" t="str">
        <x:v>适合学生、教师、科研与数据分析人员使用。</x:v>
      </x:c>
      <x:c r="F6" s="35" t="str">
        <x:v>适用于分析报告、课程讲义和技术文档中的图表或架构图。</x:v>
      </x:c>
      <x:c r="G6" s="35" t="str">
        <x:v>需要准备支持 Markdown（用简单符号排版文本的格式）、Vega（用结构化说明生成图表的工具）或 Graphviz（根据文字说明生成关系图的工具）的图形生成工具。</x:v>
      </x:c>
      <x:c r="H6" s="35" t="str">
        <x:v>需要注意：项目资料库许可证未明确；语法正确不保证数据表达诚实，必须复核来源与尺度。项目资料库许可证未明确或无法由 GitHub 自动识别，采用前需单独核验。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经过少量调整后可以使用，常见调整包括更换工具、路径或账号设置。具体建议：保留输出语法约束，将图形生成工具替换为项目支持的 Markdown、Vega 或 Graphviz 工具。</x:v>
      </x:c>
      <x:c r="L6" s="35" t="str">
        <x:v>包内容已核验：已核对用途说明和包内文件；本次未安装、未运行，不能据此判断实际效果。</x:v>
      </x:c>
      <x:c r="M6" s="39" t="str">
        <x:v>data-analytics</x:v>
      </x:c>
      <x:c r="N6" s="39" t="str">
        <x:v>GH-05-0046</x:v>
      </x:c>
      <x:c r="O6" s="36" t="str">
        <x:v>数据架构、ETL、数据库、mxGraph、图示</x:v>
      </x:c>
      <x:c r="P6" s="36" t="str">
        <x:v>AI 编程智能体通用工作流</x:v>
      </x:c>
      <x:c r="Q6" s="36" t="str">
        <x:v>社区 skill、GitHub 公开仓库（许可证待核）</x:v>
      </x:c>
      <x:c r="R6" s="39" t="str">
        <x:v>未明确</x:v>
      </x:c>
      <x:c r="S6" s="41" t="n">
        <x:v>3116</x:v>
      </x:c>
      <x:c r="T6" s="42" t="n">
        <x:v>46168</x:v>
      </x:c>
      <x:c r="U6" s="36" t="str">
        <x:v>https://github.com/markdown-viewer/skills/blob/main/data-analytics/SKILL.md</x:v>
      </x:c>
      <x:c r="V6" s="36" t="str">
        <x:v>https://github.com/markdown-viewer/skills</x:v>
      </x:c>
    </x:row>
    <x:row r="7" ht="92" customHeight="1">
      <x:c r="A7" s="37" t="n">
        <x:v>3</x:v>
      </x:c>
      <x:c r="B7" s="38" t="str">
        <x:v>05-16 数据故事与分析结果表达</x:v>
      </x:c>
      <x:c r="C7" s="38" t="str">
        <x:v>可视化选择与结果报告</x:v>
      </x:c>
      <x:c r="D7" s="35" t="str">
        <x:v>根据问题和数据类型选择图表，完成设计检查、叙事组织和误导风险审计。</x:v>
      </x:c>
      <x:c r="E7" s="35" t="str">
        <x:v>适合学生、教师、科研与数据分析人员使用。</x:v>
      </x:c>
      <x:c r="F7" s="35" t="str">
        <x:v>适用于实验设计、因果与贝叶斯推理、可视化选择和交互图表。</x:v>
      </x:c>
      <x:c r="G7" s="35" t="str">
        <x:v>需要准备：按任务可能需要统计软件、D3.js（制作网页交互图表的工具）或浏览器环境。</x:v>
      </x:c>
      <x:c r="H7" s="35" t="str">
        <x:v>需要注意：项目资料库许可证未明确；方法模板不能代替数据诊断、因果识别条件或真实运行验证。项目资料库许可证未明确或无法由 GitHub 自动识别，采用前需单独核验。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经过少量调整后可以使用，常见调整包括更换工具、路径或账号设置。具体建议：将 Claude 专用工具用法替换为 Codex 可用工具，并补充学科统计假设和必须通过的检查。</x:v>
      </x:c>
      <x:c r="L7" s="35" t="str">
        <x:v>包内容已核验：已核对用途说明和包内文件；本次未安装、未运行，不能据此判断实际效果。</x:v>
      </x:c>
      <x:c r="M7" s="39" t="str">
        <x:v>visualization-choice-reporting</x:v>
      </x:c>
      <x:c r="N7" s="39" t="str">
        <x:v>GH-05-0054</x:v>
      </x:c>
      <x:c r="O7" s="36" t="str">
        <x:v>图表选择、数据类型、叙事、报告、误导防范</x:v>
      </x:c>
      <x:c r="P7" s="36" t="str">
        <x:v>Anthropic Claude Code / 可移植工作流</x:v>
      </x:c>
      <x:c r="Q7" s="36" t="str">
        <x:v>社区 skill、GitHub 公开仓库（许可证待核）</x:v>
      </x:c>
      <x:c r="R7" s="39" t="str">
        <x:v>未明确</x:v>
      </x:c>
      <x:c r="S7" s="41" t="n">
        <x:v>141</x:v>
      </x:c>
      <x:c r="T7" s="42" t="n">
        <x:v>46238</x:v>
      </x:c>
      <x:c r="U7" s="36" t="str">
        <x:v>https://github.com/lyndonkl/claude/blob/main/skills/visualization-choice-reporting/SKILL.md</x:v>
      </x:c>
      <x:c r="V7" s="36" t="str">
        <x:v>https://github.com/lyndonkl/claude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0fa60f40c60244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05-16 数据故事与分析结果表达｜小分类清单｜分类统计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2</x:v>
      </x:c>
      <x:c r="C6" s="51"/>
      <x:c r="D6" s="52" t="str">
        <x:v>A｜调整少</x:v>
      </x:c>
      <x:c r="E6" s="52" t="n">
        <x:f>COUNTIF('AI技能清单'!$J$5:$J$7,D6)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1</x:v>
      </x:c>
      <x:c r="C7" s="51"/>
      <x:c r="D7" s="52" t="str">
        <x:v>B｜少量调整</x:v>
      </x:c>
      <x:c r="E7" s="52" t="n">
        <x:f>COUNTIF('AI技能清单'!$J$5:$J$7,D7)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05-16 数据故事与分析结果表达｜小分类清单｜来源清单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lyndonkl/claude</x:v>
      </x:c>
      <x:c r="B5" s="35" t="str">
        <x:v>https://github.com/lyndonkl/claude</x:v>
      </x:c>
      <x:c r="C5" s="35" t="str">
        <x:v>社区 skill、GitHub 公开仓库（许可证待核）</x:v>
      </x:c>
      <x:c r="D5" s="35" t="str">
        <x:v>未明确</x:v>
      </x:c>
      <x:c r="E5" s="56" t="n">
        <x:v>141</x:v>
      </x:c>
      <x:c r="F5" s="57" t="n">
        <x:v>46238</x:v>
      </x:c>
      <x:c r="G5" s="38" t="n">
        <x:f>COUNTIF('AI技能清单'!$V$5:$V$7,B5)</x:f>
        <x:v>1</x:v>
      </x:c>
    </x:row>
    <x:row r="6" ht="68" customHeight="1">
      <x:c r="A6" s="35" t="str">
        <x:v>markdown-viewer/skills</x:v>
      </x:c>
      <x:c r="B6" s="35" t="str">
        <x:v>https://github.com/markdown-viewer/skills</x:v>
      </x:c>
      <x:c r="C6" s="35" t="str">
        <x:v>社区 skill、GitHub 公开仓库（许可证待核）</x:v>
      </x:c>
      <x:c r="D6" s="35" t="str">
        <x:v>未明确</x:v>
      </x:c>
      <x:c r="E6" s="56" t="n">
        <x:v>3116</x:v>
      </x:c>
      <x:c r="F6" s="57" t="n">
        <x:v>46168</x:v>
      </x:c>
      <x:c r="G6" s="38" t="n">
        <x:f>COUNTIF('AI技能清单'!$V$5:$V$7,B6)</x:f>
        <x:v>1</x:v>
      </x:c>
    </x:row>
    <x:row r="7" ht="68" customHeight="1">
      <x:c r="A7" s="35" t="str">
        <x:v>wshobson/agents</x:v>
      </x:c>
      <x:c r="B7" s="35" t="str">
        <x:v>https://github.com/wshobson/agents</x:v>
      </x:c>
      <x:c r="C7" s="35" t="str">
        <x:v>社区 skill、GitHub 开源仓库</x:v>
      </x:c>
      <x:c r="D7" s="35" t="str">
        <x:v>MIT</x:v>
      </x:c>
      <x:c r="E7" s="56" t="n">
        <x:v>38534</x:v>
      </x:c>
      <x:c r="F7" s="57" t="n">
        <x:v>46239</x:v>
      </x:c>
      <x:c r="G7" s="38" t="n">
        <x:f>COUNTIF('AI技能清单'!$V$5:$V$7,B7)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</x:hyperlinks>
  <x:tableParts count="1">
    <x:tablePart xmlns:r="http://schemas.openxmlformats.org/officeDocument/2006/relationships" r:id="R547e5b9a2c8b4034"/>
  </x:tableParts>
</x:worksheet>
</file>