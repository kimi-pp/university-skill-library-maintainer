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d821171b6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c06ce653bfe4ac5"/>
    <x:sheet xmlns:r="http://schemas.openxmlformats.org/officeDocument/2006/relationships" name="AI技能清单" sheetId="2" r:id="R8338d0a6daab4afc"/>
    <x:sheet xmlns:r="http://schemas.openxmlformats.org/officeDocument/2006/relationships" name="分类统计" sheetId="3" r:id="R49e247691741442f"/>
    <x:sheet xmlns:r="http://schemas.openxmlformats.org/officeDocument/2006/relationships" name="来源清单" sheetId="4" r:id="R851232d51334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9906c5f1f42e1" /><Relationship Type="http://schemas.openxmlformats.org/officeDocument/2006/relationships/theme" Target="/xl/theme/theme1.xml" Id="R8d4c5d7261f24889" /><Relationship Type="http://schemas.openxmlformats.org/officeDocument/2006/relationships/sharedStrings" Target="/xl/sharedStrings.xml" Id="Rc2d071ac3c0f4265" /><Relationship Type="http://schemas.openxmlformats.org/officeDocument/2006/relationships/worksheet" Target="/xl/worksheets/sheet1.xml" Id="R2c06ce653bfe4ac5" /><Relationship Type="http://schemas.openxmlformats.org/officeDocument/2006/relationships/worksheet" Target="/xl/worksheets/sheet2.xml" Id="R8338d0a6daab4afc" /><Relationship Type="http://schemas.openxmlformats.org/officeDocument/2006/relationships/worksheet" Target="/xl/worksheets/sheet3.xml" Id="R49e247691741442f" /><Relationship Type="http://schemas.openxmlformats.org/officeDocument/2006/relationships/worksheet" Target="/xl/worksheets/sheet4.xml" Id="R851232d513344973" /></Relationships>
</file>

<file path=xl/tables/table1.xml><?xml version="1.0" encoding="utf-8"?>
<x:table xmlns:x="http://schemas.openxmlformats.org/spreadsheetml/2006/main" id="1" name="SkillTable01overview" displayName="SkillTable01overview" ref="A4:V24" headerRowCount="1" totalsRowCount="0" totalsRowShown="0">
  <x:autoFilter ref="A4:V24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1overview" displayName="SourceTable01overview" ref="A4:G11" headerRowCount="1" totalsRowCount="0" totalsRowShown="0">
  <x:autoFilter ref="A4:G11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8cfd39faa94cc7" /><Relationship Id="rIdHyperlink1" Type="http://schemas.openxmlformats.org/officeDocument/2006/relationships/hyperlink" Target="https://github.com/K-Dense-AI/scientific-agent-skills/blob/main/skills/scientific-writing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citation-management/SKILL.md" TargetMode="External" /><Relationship Id="rIdHyperlink4" Type="http://schemas.openxmlformats.org/officeDocument/2006/relationships/hyperlink" Target="https://github.com/K-Dense-AI/scientific-agent-skills" TargetMode="External" /><Relationship Id="rIdHyperlink5" Type="http://schemas.openxmlformats.org/officeDocument/2006/relationships/hyperlink" Target="https://github.com/K-Dense-AI/scientific-agent-skills/blob/main/skills/venue-templates/SKILL.md" TargetMode="External" /><Relationship Id="rIdHyperlink6" Type="http://schemas.openxmlformats.org/officeDocument/2006/relationships/hyperlink" Target="https://github.com/K-Dense-AI/scientific-agent-skills" TargetMode="External" /><Relationship Id="rIdHyperlink7" Type="http://schemas.openxmlformats.org/officeDocument/2006/relationships/hyperlink" Target="https://github.com/K-Dense-AI/scientific-agent-skills/blob/main/skills/pyzotero/SKILL.md" TargetMode="External" /><Relationship Id="rIdHyperlink8" Type="http://schemas.openxmlformats.org/officeDocument/2006/relationships/hyperlink" Target="https://github.com/K-Dense-AI/scientific-agent-skills" TargetMode="External" /><Relationship Id="rIdHyperlink9" Type="http://schemas.openxmlformats.org/officeDocument/2006/relationships/hyperlink" Target="https://github.com/ShaishavMaisuria/research-paper-lifecycle-skills/blob/main/skills/orchestrate-paper/SKILL.md" TargetMode="External" /><Relationship Id="rIdHyperlink10" Type="http://schemas.openxmlformats.org/officeDocument/2006/relationships/hyperlink" Target="https://github.com/ShaishavMaisuria/research-paper-lifecycle-skills" TargetMode="External" /><Relationship Id="rIdHyperlink11" Type="http://schemas.openxmlformats.org/officeDocument/2006/relationships/hyperlink" Target="https://github.com/ShaishavMaisuria/research-paper-lifecycle-skills/blob/main/skills/draft-related-work/SKILL.md" TargetMode="External" /><Relationship Id="rIdHyperlink12" Type="http://schemas.openxmlformats.org/officeDocument/2006/relationships/hyperlink" Target="https://github.com/ShaishavMaisuria/research-paper-lifecycle-skills" TargetMode="External" /><Relationship Id="rIdHyperlink13" Type="http://schemas.openxmlformats.org/officeDocument/2006/relationships/hyperlink" Target="https://github.com/ShaishavMaisuria/research-paper-lifecycle-skills/blob/main/skills/verify-citations/SKILL.md" TargetMode="External" /><Relationship Id="rIdHyperlink14" Type="http://schemas.openxmlformats.org/officeDocument/2006/relationships/hyperlink" Target="https://github.com/ShaishavMaisuria/research-paper-lifecycle-skills" TargetMode="External" /><Relationship Id="rIdHyperlink15" Type="http://schemas.openxmlformats.org/officeDocument/2006/relationships/hyperlink" Target="https://github.com/ShaishavMaisuria/research-paper-lifecycle-skills/blob/main/skills/write-abstract/SKILL.md" TargetMode="External" /><Relationship Id="rIdHyperlink16" Type="http://schemas.openxmlformats.org/officeDocument/2006/relationships/hyperlink" Target="https://github.com/ShaishavMaisuria/research-paper-lifecycle-skills" TargetMode="External" /><Relationship Id="rIdHyperlink17" Type="http://schemas.openxmlformats.org/officeDocument/2006/relationships/hyperlink" Target="https://github.com/ShaishavMaisuria/research-paper-lifecycle-skills/blob/main/skills/plan-submission/SKILL.md" TargetMode="External" /><Relationship Id="rIdHyperlink18" Type="http://schemas.openxmlformats.org/officeDocument/2006/relationships/hyperlink" Target="https://github.com/ShaishavMaisuria/research-paper-lifecycle-skills" TargetMode="External" /><Relationship Id="rIdHyperlink19" Type="http://schemas.openxmlformats.org/officeDocument/2006/relationships/hyperlink" Target="https://github.com/ShaishavMaisuria/research-paper-lifecycle-skills/blob/main/skills/prepare-camera-ready/SKILL.md" TargetMode="External" /><Relationship Id="rIdHyperlink20" Type="http://schemas.openxmlformats.org/officeDocument/2006/relationships/hyperlink" Target="https://github.com/ShaishavMaisuria/research-paper-lifecycle-skills" TargetMode="External" /><Relationship Id="rIdHyperlink21" Type="http://schemas.openxmlformats.org/officeDocument/2006/relationships/hyperlink" Target="https://github.com/ShaishavMaisuria/research-paper-lifecycle-skills/blob/main/skills/work-with-overleaf/SKILL.md" TargetMode="External" /><Relationship Id="rIdHyperlink22" Type="http://schemas.openxmlformats.org/officeDocument/2006/relationships/hyperlink" Target="https://github.com/ShaishavMaisuria/research-paper-lifecycle-skills" TargetMode="External" /><Relationship Id="rIdHyperlink23" Type="http://schemas.openxmlformats.org/officeDocument/2006/relationships/hyperlink" Target="https://github.com/ShaishavMaisuria/research-paper-lifecycle-skills/blob/main/skills/write-rebuttal/SKILL.md" TargetMode="External" /><Relationship Id="rIdHyperlink24" Type="http://schemas.openxmlformats.org/officeDocument/2006/relationships/hyperlink" Target="https://github.com/ShaishavMaisuria/research-paper-lifecycle-skills" TargetMode="External" /><Relationship Id="rIdHyperlink25" Type="http://schemas.openxmlformats.org/officeDocument/2006/relationships/hyperlink" Target="https://github.com/ShaishavMaisuria/research-paper-lifecycle-skills/blob/main/skills/polish-prose/SKILL.md" TargetMode="External" /><Relationship Id="rIdHyperlink26" Type="http://schemas.openxmlformats.org/officeDocument/2006/relationships/hyperlink" Target="https://github.com/ShaishavMaisuria/research-paper-lifecycle-skills" TargetMode="External" /><Relationship Id="rIdHyperlink27" Type="http://schemas.openxmlformats.org/officeDocument/2006/relationships/hyperlink" Target="https://github.com/zLanqing/codex-claude-academic-skills/blob/main/research-writing-skill/SKILL.md" TargetMode="External" /><Relationship Id="rIdHyperlink28" Type="http://schemas.openxmlformats.org/officeDocument/2006/relationships/hyperlink" Target="https://github.com/zLanqing/codex-claude-academic-skills" TargetMode="External" /><Relationship Id="rIdHyperlink29" Type="http://schemas.openxmlformats.org/officeDocument/2006/relationships/hyperlink" Target="https://github.com/beita6969/ScienceClaw/blob/main/skills/paper-writing/SKILL.md" TargetMode="External" /><Relationship Id="rIdHyperlink30" Type="http://schemas.openxmlformats.org/officeDocument/2006/relationships/hyperlink" Target="https://github.com/beita6969/ScienceClaw" TargetMode="External" /><Relationship Id="rIdHyperlink31" Type="http://schemas.openxmlformats.org/officeDocument/2006/relationships/hyperlink" Target="https://github.com/beita6969/ScienceClaw/blob/main/skills/latex-writing/SKILL.md" TargetMode="External" /><Relationship Id="rIdHyperlink32" Type="http://schemas.openxmlformats.org/officeDocument/2006/relationships/hyperlink" Target="https://github.com/beita6969/ScienceClaw" TargetMode="External" /><Relationship Id="rIdHyperlink33" Type="http://schemas.openxmlformats.org/officeDocument/2006/relationships/hyperlink" Target="https://github.com/beita6969/ScienceClaw/blob/main/skills/peer-review/SKILL.md" TargetMode="External" /><Relationship Id="rIdHyperlink34" Type="http://schemas.openxmlformats.org/officeDocument/2006/relationships/hyperlink" Target="https://github.com/beita6969/ScienceClaw" TargetMode="External" /><Relationship Id="rIdHyperlink35" Type="http://schemas.openxmlformats.org/officeDocument/2006/relationships/hyperlink" Target="https://github.com/wentorai/research-plugins/blob/main/skills/writing/composition/SKILL.md" TargetMode="External" /><Relationship Id="rIdHyperlink36" Type="http://schemas.openxmlformats.org/officeDocument/2006/relationships/hyperlink" Target="https://github.com/wentorai/research-plugins" TargetMode="External" /><Relationship Id="rIdHyperlink37" Type="http://schemas.openxmlformats.org/officeDocument/2006/relationships/hyperlink" Target="https://github.com/stephenturner/skill-peer-review-assistant/blob/main/SKILL.md" TargetMode="External" /><Relationship Id="rIdHyperlink38" Type="http://schemas.openxmlformats.org/officeDocument/2006/relationships/hyperlink" Target="https://github.com/stephenturner/skill-peer-review-assistant" TargetMode="External" /><Relationship Id="rIdHyperlink39" Type="http://schemas.openxmlformats.org/officeDocument/2006/relationships/hyperlink" Target="https://github.com/WUBING2023/PaperSpine/blob/main/src/skill/SKILL.md" TargetMode="External" /><Relationship Id="rIdHyperlink40" Type="http://schemas.openxmlformats.org/officeDocument/2006/relationships/hyperlink" Target="https://github.com/WUBING2023/PaperSpine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2d24e01f8214b14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ShaishavMaisuria/research-paper-lifecycle-skills" TargetMode="External" /><Relationship Id="rIdHyperlink3" Type="http://schemas.openxmlformats.org/officeDocument/2006/relationships/hyperlink" Target="https://github.com/WUBING2023/PaperSpine" TargetMode="External" /><Relationship Id="rIdHyperlink4" Type="http://schemas.openxmlformats.org/officeDocument/2006/relationships/hyperlink" Target="https://github.com/beita6969/ScienceClaw" TargetMode="External" /><Relationship Id="rIdHyperlink5" Type="http://schemas.openxmlformats.org/officeDocument/2006/relationships/hyperlink" Target="https://github.com/stephenturner/skill-peer-review-assistant" TargetMode="External" /><Relationship Id="rIdHyperlink6" Type="http://schemas.openxmlformats.org/officeDocument/2006/relationships/hyperlink" Target="https://github.com/wentorai/research-plugins" TargetMode="External" /><Relationship Id="rIdHyperlink7" Type="http://schemas.openxmlformats.org/officeDocument/2006/relationships/hyperlink" Target="https://github.com/zLanqing/codex-claude-academic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学术写作、引用与出版｜大分类总览</x:v>
      </x:c>
      <x:c r="B1" s="3"/>
      <x:c r="C1" s="3"/>
      <x:c r="D1" s="3"/>
    </x:row>
    <x:row r="2" ht="28" customHeight="1">
      <x:c r="A2" s="7" t="str">
        <x:v>通俗细分版｜数据日期 2026-08-07｜收录 20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学术写作、引用与出版｜大分类总览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20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01-02 论文结构与章节写作</x:v>
      </x:c>
      <x:c r="C5" s="38" t="str">
        <x:v>科学论文写作与审计</x:v>
      </x:c>
      <x:c r="D5" s="35" t="str">
        <x:v>起草、修订并审计科学论文或研究报告。</x:v>
      </x:c>
      <x:c r="E5" s="35" t="str">
        <x:v>适合学生、科研人员、教学人员使用。</x:v>
      </x:c>
      <x:c r="F5" s="35" t="str">
        <x:v>适用于论文各章节写作、报告规范核对、投稿前一致性审查。</x:v>
      </x:c>
      <x:c r="G5" s="35" t="str">
        <x:v>需要准备：Python（常用于数据处理和自动化的编程语言） 3.11+ 仅用于可选本地小程序。</x:v>
      </x:c>
      <x:c r="H5" s="35" t="str">
        <x:v>需要注意：不应把生成文本视为证据；未发表材料需按授权边界处理。</x:v>
      </x:c>
      <x:c r="I5" s="37" t="str">
        <x:v>高</x:v>
      </x:c>
      <x:c r="J5" s="37" t="str">
        <x:v>A｜调整少</x:v>
      </x:c>
      <x:c r="K5" s="35" t="str">
        <x:v>基本可以直接放入现有 AI 工作台使用，但仍需按本校制度和工具设置进行检查。具体建议：可直接按 Codex AI 技能方式使用；按学科补充本校模板。</x:v>
      </x:c>
      <x:c r="L5" s="35" t="str">
        <x:v>包内容已核验：已核对用途说明和包内文件；本次未安装、未运行，不能据此判断实际效果。</x:v>
      </x:c>
      <x:c r="M5" s="39" t="str">
        <x:v>scientific-writing</x:v>
      </x:c>
      <x:c r="N5" s="39" t="str">
        <x:v>GH-01-0001</x:v>
      </x:c>
      <x:c r="O5" s="36" t="str">
        <x:v>科学写作、证据溯源、报告规范、投稿准备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https://github.com/K-Dense-AI/scientific-agent-skills/blob/main/skills/scientific-writing/SKILL.md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01-05 引用、参考文献与文献库管理</x:v>
      </x:c>
      <x:c r="C6" s="38" t="str">
        <x:v>引文与 BibTeX 管理</x:v>
      </x:c>
      <x:c r="D6" s="35" t="str">
        <x:v>检索论文元数据（描述资料的信息，如题名、作者和日期）、验证引文并生成规范 BibTeX（保存和排版参考文献的格式）。</x:v>
      </x:c>
      <x:c r="E6" s="35" t="str">
        <x:v>适合学生、科研人员、图书馆人员使用。</x:v>
      </x:c>
      <x:c r="F6" s="35" t="str">
        <x:v>适用于毕业论文参考文献、课题组文献库、投稿前引文核对。</x:v>
      </x:c>
      <x:c r="G6" s="35" t="str">
        <x:v>需要准备：学术数据库或搜索工具；部分流程需要网络。</x:v>
      </x:c>
      <x:c r="H6" s="35" t="str">
        <x:v>需要注意：数据库覆盖和速率不同；自动格式化仍需抽查。</x:v>
      </x:c>
      <x:c r="I6" s="37" t="str">
        <x:v>高</x:v>
      </x:c>
      <x:c r="J6" s="37" t="str">
        <x:v>A｜调整少</x:v>
      </x:c>
      <x:c r="K6" s="35" t="str">
        <x:v>基本可以直接放入现有 AI 工作台使用，但仍需按本校制度和工具设置进行检查。具体建议：直接使用流程；外部检索工具按可用性替换。</x:v>
      </x:c>
      <x:c r="L6" s="35" t="str">
        <x:v>包内容已核验：已核对用途说明和包内文件；本次未安装、未运行，不能据此判断实际效果。</x:v>
      </x:c>
      <x:c r="M6" s="39" t="str">
        <x:v>citation-management</x:v>
      </x:c>
      <x:c r="N6" s="39" t="str">
        <x:v>GH-01-0002</x:v>
      </x:c>
      <x:c r="O6" s="36" t="str">
        <x:v>引文检索、DOI、BibTeX、参考文献核验</x:v>
      </x:c>
      <x:c r="P6" s="36" t="str">
        <x:v>Agent Skills（兼容 Codex）</x:v>
      </x:c>
      <x:c r="Q6" s="36" t="str">
        <x:v>社区 skill、开源仓库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https://github.com/K-Dense-AI/scientific-agent-skills/blob/main/skills/citation-management/SKILL.md</x:v>
      </x:c>
      <x:c r="V6" s="36" t="str">
        <x:v>https://github.com/K-Dense-AI/scientific-agent-skills</x:v>
      </x:c>
    </x:row>
    <x:row r="7" ht="92" customHeight="1">
      <x:c r="A7" s="37" t="n">
        <x:v>3</x:v>
      </x:c>
      <x:c r="B7" s="38" t="str">
        <x:v>01-07 投稿要求、模板与进度安排</x:v>
      </x:c>
      <x:c r="C7" s="38" t="str">
        <x:v>期刊与会议模板适配</x:v>
      </x:c>
      <x:c r="D7" s="35" t="str">
        <x:v>按目标期刊或会议选择并核对稿件、海报和基金文档模板。</x:v>
      </x:c>
      <x:c r="E7" s="35" t="str">
        <x:v>适合科研人员、研究生使用。</x:v>
      </x:c>
      <x:c r="F7" s="35" t="str">
        <x:v>适用于会议投稿、期刊改投、匿名稿与终稿格式检查。</x:v>
      </x:c>
      <x:c r="G7" s="35" t="str">
        <x:v>需要准备：LaTeX（常用于学术论文排版的工具）/PDF（常用的固定版式文档格式）工具；需要访问当前官方作者指南。</x:v>
      </x:c>
      <x:c r="H7" s="35" t="str">
        <x:v>需要注意：投稿规则会变化，缓存（为加快使用而临时保存的数据）模板不能代替实时核对。</x:v>
      </x:c>
      <x:c r="I7" s="37" t="str">
        <x:v>高</x:v>
      </x:c>
      <x:c r="J7" s="37" t="str">
        <x:v>A｜调整少</x:v>
      </x:c>
      <x:c r="K7" s="35" t="str">
        <x:v>基本可以直接放入现有 AI 工作台使用，但仍需按本校制度和工具设置进行检查。具体建议：直接采用验证优先流程；为本校常投期刊建立本地配置。</x:v>
      </x:c>
      <x:c r="L7" s="35" t="str">
        <x:v>说明已核验：已核对用途与使用说明；本次未安装、未运行，不能据此判断实际效果。</x:v>
      </x:c>
      <x:c r="M7" s="39" t="str">
        <x:v>venue-templates</x:v>
      </x:c>
      <x:c r="N7" s="39" t="str">
        <x:v>GH-01-0003</x:v>
      </x:c>
      <x:c r="O7" s="36" t="str">
        <x:v>期刊模板、会议格式、匿名规则、页面限制</x:v>
      </x:c>
      <x:c r="P7" s="36" t="str">
        <x:v>Agent Skills（兼容 Codex）</x:v>
      </x:c>
      <x:c r="Q7" s="36" t="str">
        <x:v>社区 skill、开源仓库</x:v>
      </x:c>
      <x:c r="R7" s="39" t="str">
        <x:v>MIT</x:v>
      </x:c>
      <x:c r="S7" s="41" t="n">
        <x:v>32822</x:v>
      </x:c>
      <x:c r="T7" s="42" t="n">
        <x:v>46237</x:v>
      </x:c>
      <x:c r="U7" s="36" t="str">
        <x:v>https://github.com/K-Dense-AI/scientific-agent-skills/blob/main/skills/venue-templates/SKILL.md</x:v>
      </x:c>
      <x:c r="V7" s="36" t="str">
        <x:v>https://github.com/K-Dense-AI/scientific-agent-skills</x:v>
      </x:c>
    </x:row>
    <x:row r="8" ht="92" customHeight="1">
      <x:c r="A8" s="37" t="n">
        <x:v>4</x:v>
      </x:c>
      <x:c r="B8" s="38" t="str">
        <x:v>01-05 引用、参考文献与文献库管理</x:v>
      </x:c>
      <x:c r="C8" s="38" t="str">
        <x:v>Zotero 程序化管理</x:v>
      </x:c>
      <x:c r="D8" s="35" t="str">
        <x:v>通过 pyzotero 操作 Zotero 文献库、集合、标签和附件。</x:v>
      </x:c>
      <x:c r="E8" s="35" t="str">
        <x:v>适合科研人员、学生、图书馆人员使用。</x:v>
      </x:c>
      <x:c r="F8" s="35" t="str">
        <x:v>适用于共享文献库维护、参考文献批量导出、标签整理。</x:v>
      </x:c>
      <x:c r="G8" s="35" t="str">
        <x:v>需要准备：pyzotero、Zotero Web API（软件之间交换信息的接口）、用户或群组密钥。</x:v>
      </x:c>
      <x:c r="H8" s="35" t="str">
        <x:v>需要注意：写入和删除会改变文献库；登录或授权信息与附件权限需单独管理。</x:v>
      </x:c>
      <x:c r="I8" s="37" t="str">
        <x:v>中</x:v>
      </x:c>
      <x:c r="J8" s="37" t="str">
        <x:v>B｜少量调整</x:v>
      </x:c>
      <x:c r="K8" s="35" t="str">
        <x:v>经过少量调整后可以使用，常见调整包括更换工具、路径或账号设置。具体建议：配置 Zotero API 登录或授权信息并限制修改或新增数据；先以仅查看、不修改查询接入。</x:v>
      </x:c>
      <x:c r="L8" s="35" t="str">
        <x:v>说明已核验：已核对用途与使用说明；本次未安装、未运行，不能据此判断实际效果。</x:v>
      </x:c>
      <x:c r="M8" s="39" t="str">
        <x:v>pyzotero</x:v>
      </x:c>
      <x:c r="N8" s="39" t="str">
        <x:v>GH-01-0004</x:v>
      </x:c>
      <x:c r="O8" s="36" t="str">
        <x:v>Zotero、文献库、标签、附件、API</x:v>
      </x:c>
      <x:c r="P8" s="36" t="str">
        <x:v>Agent Skills（兼容 Codex）</x:v>
      </x:c>
      <x:c r="Q8" s="36" t="str">
        <x:v>社区 skill、开源仓库</x:v>
      </x:c>
      <x:c r="R8" s="39" t="str">
        <x:v>MIT</x:v>
      </x:c>
      <x:c r="S8" s="41" t="n">
        <x:v>32822</x:v>
      </x:c>
      <x:c r="T8" s="42" t="n">
        <x:v>46237</x:v>
      </x:c>
      <x:c r="U8" s="36" t="str">
        <x:v>https://github.com/K-Dense-AI/scientific-agent-skills/blob/main/skills/pyzotero/SKILL.md</x:v>
      </x:c>
      <x:c r="V8" s="36" t="str">
        <x:v>https://github.com/K-Dense-AI/scientific-agent-skills</x:v>
      </x:c>
    </x:row>
    <x:row r="9" ht="92" customHeight="1">
      <x:c r="A9" s="37" t="n">
        <x:v>5</x:v>
      </x:c>
      <x:c r="B9" s="38" t="str">
        <x:v>01-01 论文整体规划与流程管理</x:v>
      </x:c>
      <x:c r="C9" s="38" t="str">
        <x:v>论文全生命周期编排</x:v>
      </x:c>
      <x:c r="D9" s="35" t="str">
        <x:v>帮助安排论文从形成研究想法、撰写到投稿的全过程。</x:v>
      </x:c>
      <x:c r="E9" s="35" t="str">
        <x:v>适合科研人员、研究生使用。</x:v>
      </x:c>
      <x:c r="F9" s="35" t="str">
        <x:v>适用于课题论文进度管理、投稿路线规划、团队检查点。</x:v>
      </x:c>
      <x:c r="G9" s="35" t="str">
        <x:v>需要准备：同一项目资料库中的多个生命周期 AI 技能；部分阶段需要实时网页信息。</x:v>
      </x:c>
      <x:c r="H9" s="35" t="str">
        <x:v>需要注意：不能替代作者决策，也不应自动投稿。</x:v>
      </x:c>
      <x:c r="I9" s="37" t="str">
        <x:v>高</x:v>
      </x:c>
      <x:c r="J9" s="37" t="str">
        <x:v>B｜少量调整</x:v>
      </x:c>
      <x:c r="K9" s="35" t="str">
        <x:v>经过少量调整后可以使用，常见调整包括更换工具、路径或账号设置。具体建议：需要同时引入其配套 AI 技能或改写使用安排表。</x:v>
      </x:c>
      <x:c r="L9" s="35" t="str">
        <x:v>包内容已核验：已核对用途说明和包内文件；本次未安装、未运行，不能据此判断实际效果。</x:v>
      </x:c>
      <x:c r="M9" s="39" t="str">
        <x:v>orchestrate-paper</x:v>
      </x:c>
      <x:c r="N9" s="39" t="str">
        <x:v>GH-01-0005</x:v>
      </x:c>
      <x:c r="O9" s="36" t="str">
        <x:v>论文流程、阶段门、投稿编排、验证</x:v>
      </x:c>
      <x:c r="P9" s="36" t="str">
        <x:v>Agent Skills</x:v>
      </x:c>
      <x:c r="Q9" s="36" t="str">
        <x:v>社区 skill、开源仓库</x:v>
      </x:c>
      <x:c r="R9" s="39" t="str">
        <x:v>Apache-2.0</x:v>
      </x:c>
      <x:c r="S9" s="41" t="n">
        <x:v>21</x:v>
      </x:c>
      <x:c r="T9" s="42" t="n">
        <x:v>46200</x:v>
      </x:c>
      <x:c r="U9" s="36" t="str">
        <x:v>https://github.com/ShaishavMaisuria/research-paper-lifecycle-skills/blob/main/skills/orchestrate-paper/SKILL.md</x:v>
      </x:c>
      <x:c r="V9" s="36" t="str">
        <x:v>https://github.com/ShaishavMaisuria/research-paper-lifecycle-skills</x:v>
      </x:c>
    </x:row>
    <x:row r="10" ht="92" customHeight="1">
      <x:c r="A10" s="37" t="n">
        <x:v>6</x:v>
      </x:c>
      <x:c r="B10" s="38" t="str">
        <x:v>01-02 论文结构与章节写作</x:v>
      </x:c>
      <x:c r="C10" s="38" t="str">
        <x:v>相关工作章节写作</x:v>
      </x:c>
      <x:c r="D10" s="35" t="str">
        <x:v>基于实际检索论文起草或重写 Related Work。</x:v>
      </x:c>
      <x:c r="E10" s="35" t="str">
        <x:v>适合科研人员、研究生使用。</x:v>
      </x:c>
      <x:c r="F10" s="35" t="str">
        <x:v>适用于论文相关工作重构、补齐研究脉络和差异定位。</x:v>
      </x:c>
      <x:c r="G10" s="35" t="str">
        <x:v>需要准备：find-papers 或现有 BibTeX（保存和排版参考文献的格式）文献库。</x:v>
      </x:c>
      <x:c r="H10" s="35" t="str">
        <x:v>需要注意：检索不足会导致主题失衡；不应生成未核验引文。</x:v>
      </x:c>
      <x:c r="I10" s="37" t="str">
        <x:v>高</x:v>
      </x:c>
      <x:c r="J10" s="37" t="str">
        <x:v>B｜少量调整</x:v>
      </x:c>
      <x:c r="K10" s="35" t="str">
        <x:v>经过少量调整后可以使用，常见调整包括更换工具、路径或账号设置。具体建议：与检索和引文验证技能配套；替换目标学科的章节惯例。</x:v>
      </x:c>
      <x:c r="L10" s="35" t="str">
        <x:v>说明已核验：已核对用途与使用说明；本次未安装、未运行，不能据此判断实际效果。</x:v>
      </x:c>
      <x:c r="M10" s="39" t="str">
        <x:v>draft-related-work</x:v>
      </x:c>
      <x:c r="N10" s="39" t="str">
        <x:v>GH-01-0006</x:v>
      </x:c>
      <x:c r="O10" s="36" t="str">
        <x:v>相关工作、主题聚类、研究差异、引文覆盖</x:v>
      </x:c>
      <x:c r="P10" s="36" t="str">
        <x:v>Agent Skills</x:v>
      </x:c>
      <x:c r="Q10" s="36" t="str">
        <x:v>社区 skill、开源仓库</x:v>
      </x:c>
      <x:c r="R10" s="39" t="str">
        <x:v>Apache-2.0</x:v>
      </x:c>
      <x:c r="S10" s="41" t="n">
        <x:v>21</x:v>
      </x:c>
      <x:c r="T10" s="42" t="n">
        <x:v>46200</x:v>
      </x:c>
      <x:c r="U10" s="36" t="str">
        <x:v>https://github.com/ShaishavMaisuria/research-paper-lifecycle-skills/blob/main/skills/draft-related-work/SKILL.md</x:v>
      </x:c>
      <x:c r="V10" s="36" t="str">
        <x:v>https://github.com/ShaishavMaisuria/research-paper-lifecycle-skills</x:v>
      </x:c>
    </x:row>
    <x:row r="11" ht="92" customHeight="1">
      <x:c r="A11" s="37" t="n">
        <x:v>7</x:v>
      </x:c>
      <x:c r="B11" s="38" t="str">
        <x:v>01-05 引用、参考文献与文献库管理</x:v>
      </x:c>
      <x:c r="C11" s="38" t="str">
        <x:v>参考文献真实性核验</x:v>
      </x:c>
      <x:c r="D11" s="35" t="str">
        <x:v>逐条验证 BibTeX（保存和排版参考文献的格式）文献并发现虚构、错误和重复条目。</x:v>
      </x:c>
      <x:c r="E11" s="35" t="str">
        <x:v>适合科研人员、研究生、编辑支持人员使用。</x:v>
      </x:c>
      <x:c r="F11" s="35" t="str">
        <x:v>适用于毕业论文与投稿稿件参考文献审计。</x:v>
      </x:c>
      <x:c r="G11" s="35" t="str">
        <x:v>需要准备：外部学术 API（软件之间交换信息的接口）；项目资料库中的小程序。</x:v>
      </x:c>
      <x:c r="H11" s="35" t="str">
        <x:v>需要注意：API 未解析不等于论文不存在，撤稿状态需人工复核。</x:v>
      </x:c>
      <x:c r="I11" s="37" t="str">
        <x:v>高</x:v>
      </x:c>
      <x:c r="J11" s="37" t="str">
        <x:v>B｜少量调整</x:v>
      </x:c>
      <x:c r="K11" s="35" t="str">
        <x:v>经过少量调整后可以使用，常见调整包括更换工具、路径或账号设置。具体建议：对应到 Codex 可用的检索工具；保留人工打开原始记录步骤。</x:v>
      </x:c>
      <x:c r="L11" s="35" t="str">
        <x:v>说明已核验：已核对用途与使用说明；本次未安装、未运行，不能据此判断实际效果。</x:v>
      </x:c>
      <x:c r="M11" s="39" t="str">
        <x:v>verify-citations</x:v>
      </x:c>
      <x:c r="N11" s="39" t="str">
        <x:v>GH-01-0007</x:v>
      </x:c>
      <x:c r="O11" s="36" t="str">
        <x:v>BibTeX、Crossref、DBLP、Semantic Scholar、arXiv</x:v>
      </x:c>
      <x:c r="P11" s="36" t="str">
        <x:v>Agent Skills</x:v>
      </x:c>
      <x:c r="Q11" s="36" t="str">
        <x:v>社区 skill、开源仓库</x:v>
      </x:c>
      <x:c r="R11" s="39" t="str">
        <x:v>Apache-2.0</x:v>
      </x:c>
      <x:c r="S11" s="41" t="n">
        <x:v>21</x:v>
      </x:c>
      <x:c r="T11" s="42" t="n">
        <x:v>46200</x:v>
      </x:c>
      <x:c r="U11" s="36" t="str">
        <x:v>https://github.com/ShaishavMaisuria/research-paper-lifecycle-skills/blob/main/skills/verify-citations/SKILL.md</x:v>
      </x:c>
      <x:c r="V11" s="36" t="str">
        <x:v>https://github.com/ShaishavMaisuria/research-paper-lifecycle-skills</x:v>
      </x:c>
    </x:row>
    <x:row r="12" ht="92" customHeight="1">
      <x:c r="A12" s="37" t="n">
        <x:v>8</x:v>
      </x:c>
      <x:c r="B12" s="38" t="str">
        <x:v>01-03 摘要、关键词与篇幅压缩</x:v>
      </x:c>
      <x:c r="C12" s="38" t="str">
        <x:v>摘要与关键词撰写</x:v>
      </x:c>
      <x:c r="D12" s="35" t="str">
        <x:v>按投稿场景撰写、缩写和检查论文摘要。</x:v>
      </x:c>
      <x:c r="E12" s="35" t="str">
        <x:v>适合科研人员、研究生使用。</x:v>
      </x:c>
      <x:c r="F12" s="35" t="str">
        <x:v>适用于会议摘要注册、期刊摘要改写、学位论文摘要。</x:v>
      </x:c>
      <x:c r="G12" s="35" t="str">
        <x:v>需要准备：目标会场当前指南；可选检查脚本。</x:v>
      </x:c>
      <x:c r="H12" s="35" t="str">
        <x:v>需要注意：摘要不能补造尚未确认的结果；字数规则会变化。</x:v>
      </x:c>
      <x:c r="I12" s="37" t="str">
        <x:v>高</x:v>
      </x:c>
      <x:c r="J12" s="37" t="str">
        <x:v>B｜少量调整</x:v>
      </x:c>
      <x:c r="K12" s="35" t="str">
        <x:v>经过少量调整后可以使用，常见调整包括更换工具、路径或账号设置。具体建议：将会场规则核验连接方式替换为当前可用网页工具。</x:v>
      </x:c>
      <x:c r="L12" s="35" t="str">
        <x:v>说明已核验：已核对用途与使用说明；本次未安装、未运行，不能据此判断实际效果。</x:v>
      </x:c>
      <x:c r="M12" s="39" t="str">
        <x:v>write-abstract</x:v>
      </x:c>
      <x:c r="N12" s="39" t="str">
        <x:v>GH-01-0008</x:v>
      </x:c>
      <x:c r="O12" s="36" t="str">
        <x:v>摘要、关键词、字数限制、摘要注册</x:v>
      </x:c>
      <x:c r="P12" s="36" t="str">
        <x:v>Agent Skills</x:v>
      </x:c>
      <x:c r="Q12" s="36" t="str">
        <x:v>社区 skill、开源仓库</x:v>
      </x:c>
      <x:c r="R12" s="39" t="str">
        <x:v>Apache-2.0</x:v>
      </x:c>
      <x:c r="S12" s="41" t="n">
        <x:v>21</x:v>
      </x:c>
      <x:c r="T12" s="42" t="n">
        <x:v>46200</x:v>
      </x:c>
      <x:c r="U12" s="36" t="str">
        <x:v>https://github.com/ShaishavMaisuria/research-paper-lifecycle-skills/blob/main/skills/write-abstract/SKILL.md</x:v>
      </x:c>
      <x:c r="V12" s="36" t="str">
        <x:v>https://github.com/ShaishavMaisuria/research-paper-lifecycle-skills</x:v>
      </x:c>
    </x:row>
    <x:row r="13" ht="92" customHeight="1">
      <x:c r="A13" s="37" t="n">
        <x:v>9</x:v>
      </x:c>
      <x:c r="B13" s="38" t="str">
        <x:v>01-07 投稿要求、模板与进度安排</x:v>
      </x:c>
      <x:c r="C13" s="38" t="str">
        <x:v>投稿倒排计划</x:v>
      </x:c>
      <x:c r="D13" s="35" t="str">
        <x:v>从会议或期刊截止日期反推投稿准备计划。</x:v>
      </x:c>
      <x:c r="E13" s="35" t="str">
        <x:v>适合科研人员、研究生、科研管理人员使用。</x:v>
      </x:c>
      <x:c r="F13" s="35" t="str">
        <x:v>适用于会议投稿排期、课题组多人协作、终稿准备。</x:v>
      </x:c>
      <x:c r="G13" s="35" t="str">
        <x:v>需要准备：实时 CFP（会议征稿通知）或作者指南。</x:v>
      </x:c>
      <x:c r="H13" s="35" t="str">
        <x:v>需要注意：截止日期、时区和系统规则需实时核对。</x:v>
      </x:c>
      <x:c r="I13" s="37" t="str">
        <x:v>中</x:v>
      </x:c>
      <x:c r="J13" s="37" t="str">
        <x:v>B｜少量调整</x:v>
      </x:c>
      <x:c r="K13" s="35" t="str">
        <x:v>经过少量调整后可以使用，常见调整包括更换工具、路径或账号设置。具体建议：接入日历前先保持仅查看、不修改计划；规则从官方 CFP 核验。</x:v>
      </x:c>
      <x:c r="L13" s="35" t="str">
        <x:v>说明已核验：已核对用途与使用说明；本次未安装、未运行，不能据此判断实际效果。</x:v>
      </x:c>
      <x:c r="M13" s="39" t="str">
        <x:v>plan-submission</x:v>
      </x:c>
      <x:c r="N13" s="39" t="str">
        <x:v>GH-01-0009</x:v>
      </x:c>
      <x:c r="O13" s="36" t="str">
        <x:v>投稿计划、截止日期、系统账户、材料清单</x:v>
      </x:c>
      <x:c r="P13" s="36" t="str">
        <x:v>Agent Skills</x:v>
      </x:c>
      <x:c r="Q13" s="36" t="str">
        <x:v>社区 skill、开源仓库</x:v>
      </x:c>
      <x:c r="R13" s="39" t="str">
        <x:v>Apache-2.0</x:v>
      </x:c>
      <x:c r="S13" s="41" t="n">
        <x:v>21</x:v>
      </x:c>
      <x:c r="T13" s="42" t="n">
        <x:v>46200</x:v>
      </x:c>
      <x:c r="U13" s="36" t="str">
        <x:v>https://github.com/ShaishavMaisuria/research-paper-lifecycle-skills/blob/main/skills/plan-submission/SKILL.md</x:v>
      </x:c>
      <x:c r="V13" s="36" t="str">
        <x:v>https://github.com/ShaishavMaisuria/research-paper-lifecycle-skills</x:v>
      </x:c>
    </x:row>
    <x:row r="14" ht="92" customHeight="1">
      <x:c r="A14" s="37" t="n">
        <x:v>10</x:v>
      </x:c>
      <x:c r="B14" s="38" t="str">
        <x:v>01-08 终稿、版权与出版前检查</x:v>
      </x:c>
      <x:c r="C14" s="38" t="str">
        <x:v>终稿与出版前准备</x:v>
      </x:c>
      <x:c r="D14" s="35" t="str">
        <x:v>为录用论文生成可执行的终稿准备清单并检查常见错误。</x:v>
      </x:c>
      <x:c r="E14" s="35" t="str">
        <x:v>适合科研人员、研究生使用。</x:v>
      </x:c>
      <x:c r="F14" s="35" t="str">
        <x:v>适用于录用后终稿、版权材料和出版系统准备。</x:v>
      </x:c>
      <x:c r="G14" s="35" t="str">
        <x:v>需要准备：LaTeX（常用于学术论文排版的工具）/PDF（常用的固定版式文档格式）工具；目标出版轨道信息。</x:v>
      </x:c>
      <x:c r="H14" s="35" t="str">
        <x:v>需要注意：出版规则与表单具有时效性；最终提交必须人工完成。</x:v>
      </x:c>
      <x:c r="I14" s="37" t="str">
        <x:v>高</x:v>
      </x:c>
      <x:c r="J14" s="37" t="str">
        <x:v>B｜少量调整</x:v>
      </x:c>
      <x:c r="K14" s="35" t="str">
        <x:v>先用目标出版要求检查终稿副本，保留人工确认和本地自动文字检查，禁止自动提交出版表单。</x:v>
      </x:c>
      <x:c r="L14" s="35" t="str">
        <x:v>说明已核验：已核对用途与使用说明；本次未安装、未运行，不能据此判断实际效果。</x:v>
      </x:c>
      <x:c r="M14" s="39" t="str">
        <x:v>prepare-camera-ready</x:v>
      </x:c>
      <x:c r="N14" s="39" t="str">
        <x:v>GH-01-0010</x:v>
      </x:c>
      <x:c r="O14" s="36" t="str">
        <x:v>camera-ready、版权、ORCID、PDF 检查、去匿名</x:v>
      </x:c>
      <x:c r="P14" s="36" t="str">
        <x:v>Agent Skills</x:v>
      </x:c>
      <x:c r="Q14" s="36" t="str">
        <x:v>社区 skill、开源仓库</x:v>
      </x:c>
      <x:c r="R14" s="39" t="str">
        <x:v>Apache-2.0</x:v>
      </x:c>
      <x:c r="S14" s="41" t="n">
        <x:v>21</x:v>
      </x:c>
      <x:c r="T14" s="42" t="n">
        <x:v>46200</x:v>
      </x:c>
      <x:c r="U14" s="36" t="str">
        <x:v>https://github.com/ShaishavMaisuria/research-paper-lifecycle-skills/blob/main/skills/prepare-camera-ready/SKILL.md</x:v>
      </x:c>
      <x:c r="V14" s="36" t="str">
        <x:v>https://github.com/ShaishavMaisuria/research-paper-lifecycle-skills</x:v>
      </x:c>
    </x:row>
    <x:row r="15" ht="92" customHeight="1">
      <x:c r="A15" s="37" t="n">
        <x:v>11</x:v>
      </x:c>
      <x:c r="B15" s="38" t="str">
        <x:v>01-06 LaTeX 排版与在线协作</x:v>
      </x:c>
      <x:c r="C15" s="38" t="str">
        <x:v>Overleaf 协作桥接</x:v>
      </x:c>
      <x:c r="D15" s="35" t="str">
        <x:v>把 Overleaf 项目接入本地论文检查和修改流程。</x:v>
      </x:c>
      <x:c r="E15" s="35" t="str">
        <x:v>适合科研人员、研究生使用。</x:v>
      </x:c>
      <x:c r="F15" s="35" t="str">
        <x:v>适用于课题组 Overleaf 稿件本地使用前检查、同步修改。</x:v>
      </x:c>
      <x:c r="G15" s="35" t="str">
        <x:v>需要准备：Overleaf 账号；可选 Git 权限或 ZIP（压缩文件格式）。</x:v>
      </x:c>
      <x:c r="H15" s="35" t="str">
        <x:v>需要注意：令牌与未发表稿件敏感；错误同步可能覆盖协作内容。</x:v>
      </x:c>
      <x:c r="I15" s="37" t="str">
        <x:v>中</x:v>
      </x:c>
      <x:c r="J15" s="37" t="str">
        <x:v>B｜少量调整</x:v>
      </x:c>
      <x:c r="K15" s="35" t="str">
        <x:v>经过少量调整后可以使用，常见调整包括更换工具、路径或账号设置。具体建议：根据账号权限选择同步路径；所有把修改写回原处都要求单独确认。</x:v>
      </x:c>
      <x:c r="L15" s="35" t="str">
        <x:v>说明已核验：已核对用途与使用说明；本次未安装、未运行，不能据此判断实际效果。</x:v>
      </x:c>
      <x:c r="M15" s="39" t="str">
        <x:v>work-with-overleaf</x:v>
      </x:c>
      <x:c r="N15" s="39" t="str">
        <x:v>GH-01-0011</x:v>
      </x:c>
      <x:c r="O15" s="36" t="str">
        <x:v>Overleaf、LaTeX、同步、Git、ZIP</x:v>
      </x:c>
      <x:c r="P15" s="36" t="str">
        <x:v>Agent Skills</x:v>
      </x:c>
      <x:c r="Q15" s="36" t="str">
        <x:v>社区 skill、开源仓库</x:v>
      </x:c>
      <x:c r="R15" s="39" t="str">
        <x:v>Apache-2.0</x:v>
      </x:c>
      <x:c r="S15" s="41" t="n">
        <x:v>21</x:v>
      </x:c>
      <x:c r="T15" s="42" t="n">
        <x:v>46200</x:v>
      </x:c>
      <x:c r="U15" s="36" t="str">
        <x:v>https://github.com/ShaishavMaisuria/research-paper-lifecycle-skills/blob/main/skills/work-with-overleaf/SKILL.md</x:v>
      </x:c>
      <x:c r="V15" s="36" t="str">
        <x:v>https://github.com/ShaishavMaisuria/research-paper-lifecycle-skills</x:v>
      </x:c>
    </x:row>
    <x:row r="16" ht="92" customHeight="1">
      <x:c r="A16" s="37" t="n">
        <x:v>12</x:v>
      </x:c>
      <x:c r="B16" s="38" t="str">
        <x:v>01-09 同行评审、审稿回复与修改</x:v>
      </x:c>
      <x:c r="C16" s="38" t="str">
        <x:v>审稿意见回复与 rebuttal</x:v>
      </x:c>
      <x:c r="D16" s="35" t="str">
        <x:v>按会场格式起草逐点审稿回复和 rebuttal。</x:v>
      </x:c>
      <x:c r="E16" s="35" t="str">
        <x:v>适合科研人员、研究生使用。</x:v>
      </x:c>
      <x:c r="F16" s="35" t="str">
        <x:v>适用于会议 rebuttal、期刊修回说明、审稿意见覆盖检查。</x:v>
      </x:c>
      <x:c r="G16" s="35" t="str">
        <x:v>需要准备：目标会场规则；可选字符与页面检查脚本。</x:v>
      </x:c>
      <x:c r="H16" s="35" t="str">
        <x:v>需要注意：审稿内容可能保密；不能虚构新增实验或改动。</x:v>
      </x:c>
      <x:c r="I16" s="37" t="str">
        <x:v>高</x:v>
      </x:c>
      <x:c r="J16" s="37" t="str">
        <x:v>B｜少量调整</x:v>
      </x:c>
      <x:c r="K16" s="35" t="str">
        <x:v>经过少量调整后可以使用，常见调整包括更换工具、路径或账号设置。具体建议：替换会场配置并保留作者逐条批准。</x:v>
      </x:c>
      <x:c r="L16" s="35" t="str">
        <x:v>说明已核验：已核对用途与使用说明；本次未安装、未运行，不能据此判断实际效果。</x:v>
      </x:c>
      <x:c r="M16" s="39" t="str">
        <x:v>write-rebuttal</x:v>
      </x:c>
      <x:c r="N16" s="39" t="str">
        <x:v>GH-01-0012</x:v>
      </x:c>
      <x:c r="O16" s="36" t="str">
        <x:v>rebuttal、作者回复、字符预算、修订说明</x:v>
      </x:c>
      <x:c r="P16" s="36" t="str">
        <x:v>Agent Skills</x:v>
      </x:c>
      <x:c r="Q16" s="36" t="str">
        <x:v>社区 skill、开源仓库</x:v>
      </x:c>
      <x:c r="R16" s="39" t="str">
        <x:v>Apache-2.0</x:v>
      </x:c>
      <x:c r="S16" s="41" t="n">
        <x:v>21</x:v>
      </x:c>
      <x:c r="T16" s="42" t="n">
        <x:v>46200</x:v>
      </x:c>
      <x:c r="U16" s="36" t="str">
        <x:v>https://github.com/ShaishavMaisuria/research-paper-lifecycle-skills/blob/main/skills/write-rebuttal/SKILL.md</x:v>
      </x:c>
      <x:c r="V16" s="36" t="str">
        <x:v>https://github.com/ShaishavMaisuria/research-paper-lifecycle-skills</x:v>
      </x:c>
    </x:row>
    <x:row r="17" ht="92" customHeight="1">
      <x:c r="A17" s="37" t="n">
        <x:v>13</x:v>
      </x:c>
      <x:c r="B17" s="38" t="str">
        <x:v>01-04 学术语言润色与表达改进</x:v>
      </x:c>
      <x:c r="C17" s="38" t="str">
        <x:v>学术语言精炼</x:v>
      </x:c>
      <x:c r="D17" s="35" t="str">
        <x:v>在不改变技术主张的前提下收紧并统一学术表达。</x:v>
      </x:c>
      <x:c r="E17" s="35" t="str">
        <x:v>适合科研人员、研究生、教学人员使用。</x:v>
      </x:c>
      <x:c r="F17" s="35" t="str">
        <x:v>适用于英文论文润色、术语统一、投稿前文字检查。</x:v>
      </x:c>
      <x:c r="G17" s="35" t="str">
        <x:v>需要准备：Python（常用于数据处理和自动化的编程语言）标准库脚本。</x:v>
      </x:c>
      <x:c r="H17" s="35" t="str">
        <x:v>需要注意：过度润色可能改变论证强度，应进行差异复核。</x:v>
      </x:c>
      <x:c r="I17" s="37" t="str">
        <x:v>高</x:v>
      </x:c>
      <x:c r="J17" s="37" t="str">
        <x:v>B｜少量调整</x:v>
      </x:c>
      <x:c r="K17" s="35" t="str">
        <x:v>经过少量调整后可以使用，常见调整包括更换工具、路径或账号设置。具体建议：保留原始数值、引文与术语锁定；脚本可直接复用。</x:v>
      </x:c>
      <x:c r="L17" s="35" t="str">
        <x:v>说明已核验：已核对用途与使用说明；本次未安装、未运行，不能据此判断实际效果。</x:v>
      </x:c>
      <x:c r="M17" s="39" t="str">
        <x:v>polish-prose</x:v>
      </x:c>
      <x:c r="N17" s="39" t="str">
        <x:v>GH-01-0013</x:v>
      </x:c>
      <x:c r="O17" s="36" t="str">
        <x:v>语言润色、术语一致、冗余、AI 痕迹</x:v>
      </x:c>
      <x:c r="P17" s="36" t="str">
        <x:v>Agent Skills</x:v>
      </x:c>
      <x:c r="Q17" s="36" t="str">
        <x:v>社区 skill、开源仓库</x:v>
      </x:c>
      <x:c r="R17" s="39" t="str">
        <x:v>Apache-2.0</x:v>
      </x:c>
      <x:c r="S17" s="41" t="n">
        <x:v>21</x:v>
      </x:c>
      <x:c r="T17" s="42" t="n">
        <x:v>46200</x:v>
      </x:c>
      <x:c r="U17" s="36" t="str">
        <x:v>https://github.com/ShaishavMaisuria/research-paper-lifecycle-skills/blob/main/skills/polish-prose/SKILL.md</x:v>
      </x:c>
      <x:c r="V17" s="36" t="str">
        <x:v>https://github.com/ShaishavMaisuria/research-paper-lifecycle-skills</x:v>
      </x:c>
    </x:row>
    <x:row r="18" ht="92" customHeight="1">
      <x:c r="A18" s="37" t="n">
        <x:v>14</x:v>
      </x:c>
      <x:c r="B18" s="38" t="str">
        <x:v>01-02 论文结构与章节写作</x:v>
      </x:c>
      <x:c r="C18" s="38" t="str">
        <x:v>中文科研写作工作流</x:v>
      </x:c>
      <x:c r="D18" s="35" t="str">
        <x:v>面向中文科研用户的论文写作、修订和论证规划。</x:v>
      </x:c>
      <x:c r="E18" s="35" t="str">
        <x:v>适合学生、科研人员、教学人员使用。</x:v>
      </x:c>
      <x:c r="F18" s="35" t="str">
        <x:v>适用于中文论文辅写、英文术语保真、学位论文和回复信。</x:v>
      </x:c>
      <x:c r="G18" s="35" t="str">
        <x:v>通常不需要额外安装其他工具；实际使用前仍应检查本校环境。</x:v>
      </x:c>
      <x:c r="H18" s="35" t="str">
        <x:v>需要注意：仍需作者提供事实、数据和引用证据。</x:v>
      </x:c>
      <x:c r="I18" s="37" t="str">
        <x:v>高</x:v>
      </x:c>
      <x:c r="J18" s="37" t="str">
        <x:v>A｜调整少</x:v>
      </x:c>
      <x:c r="K18" s="35" t="str">
        <x:v>基本可以直接放入现有 AI 工作台使用，但仍需按本校制度和工具设置进行检查。具体建议：可直接使用；按学校写作规范补充模板。</x:v>
      </x:c>
      <x:c r="L18" s="35" t="str">
        <x:v>包内容已核验：已核对用途说明和包内文件；本次未安装、未运行，不能据此判断实际效果。</x:v>
      </x:c>
      <x:c r="M18" s="39" t="str">
        <x:v>research-writing-skill</x:v>
      </x:c>
      <x:c r="N18" s="39" t="str">
        <x:v>GH-01-0014</x:v>
      </x:c>
      <x:c r="O18" s="36" t="str">
        <x:v>中文科研写作、章节模板、润色、审稿回复</x:v>
      </x:c>
      <x:c r="P18" s="36" t="str">
        <x:v>OpenAI Codex、Anthropic Claude Code</x:v>
      </x:c>
      <x:c r="Q18" s="36" t="str">
        <x:v>社区 skill、开源仓库</x:v>
      </x:c>
      <x:c r="R18" s="39" t="str">
        <x:v>MIT</x:v>
      </x:c>
      <x:c r="S18" s="41" t="n">
        <x:v>2613</x:v>
      </x:c>
      <x:c r="T18" s="42" t="n">
        <x:v>46156</x:v>
      </x:c>
      <x:c r="U18" s="36" t="str">
        <x:v>https://github.com/zLanqing/codex-claude-academic-skills/blob/main/research-writing-skill/SKILL.md</x:v>
      </x:c>
      <x:c r="V18" s="36" t="str">
        <x:v>https://github.com/zLanqing/codex-claude-academic-skills</x:v>
      </x:c>
    </x:row>
    <x:row r="19" ht="92" customHeight="1">
      <x:c r="A19" s="37" t="n">
        <x:v>15</x:v>
      </x:c>
      <x:c r="B19" s="38" t="str">
        <x:v>01-02 论文结构与章节写作</x:v>
      </x:c>
      <x:c r="C19" s="38" t="str">
        <x:v>IMRaD 科学论文写作</x:v>
      </x:c>
      <x:c r="D19" s="35" t="str">
        <x:v>按照 IMRaD（按引言、方法、结果和讨论组织论文的结构）结构辅助起草和改进科学论文。</x:v>
      </x:c>
      <x:c r="E19" s="35" t="str">
        <x:v>适合学生、科研人员使用。</x:v>
      </x:c>
      <x:c r="F19" s="35" t="str">
        <x:v>适用于初稿结构搭建、课程论文和实验论文章节检查。</x:v>
      </x:c>
      <x:c r="G19" s="35" t="str">
        <x:v>通常不需要额外安装其他工具；实际使用前仍应检查本校环境。</x:v>
      </x:c>
      <x:c r="H19" s="35" t="str">
        <x:v>需要注意：框架（组织工作步骤和配套工具的一套结构）较通用，不能替代学科报告规范。</x:v>
      </x:c>
      <x:c r="I19" s="37" t="str">
        <x:v>中</x:v>
      </x:c>
      <x:c r="J19" s="37" t="str">
        <x:v>B｜少量调整</x:v>
      </x:c>
      <x:c r="K19" s="35" t="str">
        <x:v>经过少量调整后可以使用，常见调整包括更换工具、路径或账号设置。具体建议：移除 OpenClaw 特定使用安排并接入本项目引文验证规则。</x:v>
      </x:c>
      <x:c r="L19" s="35" t="str">
        <x:v>说明已核验：已核对用途与使用说明；本次未安装、未运行，不能据此判断实际效果。</x:v>
      </x:c>
      <x:c r="M19" s="39" t="str">
        <x:v>paper-writing</x:v>
      </x:c>
      <x:c r="N19" s="39" t="str">
        <x:v>GH-01-0015</x:v>
      </x:c>
      <x:c r="O19" s="36" t="str">
        <x:v>IMRaD、论文结构、引文、章节写作</x:v>
      </x:c>
      <x:c r="P19" s="36" t="str">
        <x:v>其他明确命名生态（OpenClaw）</x:v>
      </x:c>
      <x:c r="Q19" s="36" t="str">
        <x:v>社区 skill、开源仓库</x:v>
      </x:c>
      <x:c r="R19" s="39" t="str">
        <x:v>MIT</x:v>
      </x:c>
      <x:c r="S19" s="41" t="n">
        <x:v>872</x:v>
      </x:c>
      <x:c r="T19" s="42" t="n">
        <x:v>46181</x:v>
      </x:c>
      <x:c r="U19" s="36" t="str">
        <x:v>https://github.com/beita6969/ScienceClaw/blob/main/skills/paper-writing/SKILL.md</x:v>
      </x:c>
      <x:c r="V19" s="36" t="str">
        <x:v>https://github.com/beita6969/ScienceClaw</x:v>
      </x:c>
    </x:row>
    <x:row r="20" ht="92" customHeight="1">
      <x:c r="A20" s="37" t="n">
        <x:v>16</x:v>
      </x:c>
      <x:c r="B20" s="38" t="str">
        <x:v>01-06 LaTeX 排版与在线协作</x:v>
      </x:c>
      <x:c r="C20" s="38" t="str">
        <x:v>学术 LaTeX 写作</x:v>
      </x:c>
      <x:c r="D20" s="35" t="str">
        <x:v>为学术期刊和会议编写、格式化 LaTeX（常用于学术论文排版的工具）文档。</x:v>
      </x:c>
      <x:c r="E20" s="35" t="str">
        <x:v>适合学生、科研人员使用。</x:v>
      </x:c>
      <x:c r="F20" s="35" t="str">
        <x:v>适用于论文 LaTeX 排版、复杂公式表格、期刊格式迁移。</x:v>
      </x:c>
      <x:c r="G20" s="35" t="str">
        <x:v>需要准备：LaTeX 配套工具。</x:v>
      </x:c>
      <x:c r="H20" s="35" t="str">
        <x:v>需要注意：内置模板可能过时；编译结果需检查。</x:v>
      </x:c>
      <x:c r="I20" s="37" t="str">
        <x:v>中</x:v>
      </x:c>
      <x:c r="J20" s="37" t="str">
        <x:v>B｜少量调整</x:v>
      </x:c>
      <x:c r="K20" s="35" t="str">
        <x:v>经过少量调整后可以使用，常见调整包括更换工具、路径或账号设置。具体建议：把内置示例作为起点，投稿前仍从官方模板核验。</x:v>
      </x:c>
      <x:c r="L20" s="35" t="str">
        <x:v>说明已核验：已核对用途与使用说明；本次未安装、未运行，不能据此判断实际效果。</x:v>
      </x:c>
      <x:c r="M20" s="39" t="str">
        <x:v>latex-writing</x:v>
      </x:c>
      <x:c r="N20" s="39" t="str">
        <x:v>GH-01-0016</x:v>
      </x:c>
      <x:c r="O20" s="36" t="str">
        <x:v>LaTeX、期刊格式、公式、表格、BibTeX</x:v>
      </x:c>
      <x:c r="P20" s="36" t="str">
        <x:v>其他明确命名生态（OpenClaw）</x:v>
      </x:c>
      <x:c r="Q20" s="36" t="str">
        <x:v>社区 skill、开源仓库</x:v>
      </x:c>
      <x:c r="R20" s="39" t="str">
        <x:v>MIT</x:v>
      </x:c>
      <x:c r="S20" s="41" t="n">
        <x:v>872</x:v>
      </x:c>
      <x:c r="T20" s="42" t="n">
        <x:v>46181</x:v>
      </x:c>
      <x:c r="U20" s="36" t="str">
        <x:v>https://github.com/beita6969/ScienceClaw/blob/main/skills/latex-writing/SKILL.md</x:v>
      </x:c>
      <x:c r="V20" s="36" t="str">
        <x:v>https://github.com/beita6969/ScienceClaw</x:v>
      </x:c>
    </x:row>
    <x:row r="21" ht="92" customHeight="1">
      <x:c r="A21" s="37" t="n">
        <x:v>17</x:v>
      </x:c>
      <x:c r="B21" s="38" t="str">
        <x:v>01-09 同行评审、审稿回复与修改</x:v>
      </x:c>
      <x:c r="C21" s="38" t="str">
        <x:v>结构化同行评审</x:v>
      </x:c>
      <x:c r="D21" s="35" t="str">
        <x:v>按期刊式结构评审科学手稿并生成建设性意见。</x:v>
      </x:c>
      <x:c r="E21" s="35" t="str">
        <x:v>适合科研人员、教学人员、研究生使用。</x:v>
      </x:c>
      <x:c r="F21" s="35" t="str">
        <x:v>适用于组内预审、投稿前模拟评审、论文阅读训练。</x:v>
      </x:c>
      <x:c r="G21" s="35" t="str">
        <x:v>通常不需要额外安装其他工具；实际使用前仍应检查本校环境。</x:v>
      </x:c>
      <x:c r="H21" s="35" t="str">
        <x:v>需要注意：评审结论只是辅助意见，不能替代领域专家。</x:v>
      </x:c>
      <x:c r="I21" s="37" t="str">
        <x:v>中</x:v>
      </x:c>
      <x:c r="J21" s="37" t="str">
        <x:v>B｜少量调整</x:v>
      </x:c>
      <x:c r="K21" s="35" t="str">
        <x:v>经过少量调整后可以使用，常见调整包括更换工具、路径或账号设置。具体建议：调整工具名称即可使用；应与统计和引文核验技能协同。</x:v>
      </x:c>
      <x:c r="L21" s="35" t="str">
        <x:v>说明已核验：已核对用途与使用说明；本次未安装、未运行，不能据此判断实际效果。</x:v>
      </x:c>
      <x:c r="M21" s="39" t="str">
        <x:v>peer-review</x:v>
      </x:c>
      <x:c r="N21" s="39" t="str">
        <x:v>GH-01-0017</x:v>
      </x:c>
      <x:c r="O21" s="36" t="str">
        <x:v>同行评审、方法审查、统计评估、反馈</x:v>
      </x:c>
      <x:c r="P21" s="36" t="str">
        <x:v>其他明确命名生态（OpenClaw）</x:v>
      </x:c>
      <x:c r="Q21" s="36" t="str">
        <x:v>社区 skill、开源仓库</x:v>
      </x:c>
      <x:c r="R21" s="39" t="str">
        <x:v>MIT</x:v>
      </x:c>
      <x:c r="S21" s="41" t="n">
        <x:v>872</x:v>
      </x:c>
      <x:c r="T21" s="42" t="n">
        <x:v>46181</x:v>
      </x:c>
      <x:c r="U21" s="36" t="str">
        <x:v>https://github.com/beita6969/ScienceClaw/blob/main/skills/peer-review/SKILL.md</x:v>
      </x:c>
      <x:c r="V21" s="36" t="str">
        <x:v>https://github.com/beita6969/ScienceClaw</x:v>
      </x:c>
    </x:row>
    <x:row r="22" ht="92" customHeight="1">
      <x:c r="A22" s="37" t="n">
        <x:v>18</x:v>
      </x:c>
      <x:c r="B22" s="38" t="str">
        <x:v>01-02 论文结构与章节写作</x:v>
      </x:c>
      <x:c r="C22" s="38" t="str">
        <x:v>学术章节写作技能组</x:v>
      </x:c>
      <x:c r="D22" s="35" t="str">
        <x:v>聚合九项学术写作配套 AI 技能，按章节提供模板和论证指导。</x:v>
      </x:c>
      <x:c r="E22" s="35" t="str">
        <x:v>适合学生、科研人员使用。</x:v>
      </x:c>
      <x:c r="F22" s="35" t="str">
        <x:v>适用于论文分章节写作、知识库按需使用。</x:v>
      </x:c>
      <x:c r="G22" s="35" t="str">
        <x:v>需要准备：同一项目资料库中的多个配套 AI 技能。</x:v>
      </x:c>
      <x:c r="H22" s="35" t="str">
        <x:v>需要注意：聚合项目资料库规模大，需防止加载无关内容。</x:v>
      </x:c>
      <x:c r="I22" s="37" t="str">
        <x:v>中</x:v>
      </x:c>
      <x:c r="J22" s="37" t="str">
        <x:v>B｜少量调整</x:v>
      </x:c>
      <x:c r="K22" s="35" t="str">
        <x:v>经过少量调整后可以使用，常见调整包括更换工具、路径或账号设置。具体建议：将配套 AI 技能路径对应到 Codex AI 技能目录；优先加载所需章节。</x:v>
      </x:c>
      <x:c r="L22" s="35" t="str">
        <x:v>说明已核验：已核对用途与使用说明；本次未安装、未运行，不能据此判断实际效果。</x:v>
      </x:c>
      <x:c r="M22" s="39" t="str">
        <x:v>composition-skills</x:v>
      </x:c>
      <x:c r="N22" s="39" t="str">
        <x:v>GH-01-0018</x:v>
      </x:c>
      <x:c r="O22" s="36" t="str">
        <x:v>摘要、引言、方法、讨论、章节模板</x:v>
      </x:c>
      <x:c r="P22" s="36" t="str">
        <x:v>其他明确命名生态（Research-Claw）</x:v>
      </x:c>
      <x:c r="Q22" s="36" t="str">
        <x:v>社区 skill、开源仓库、可移植工作流</x:v>
      </x:c>
      <x:c r="R22" s="39" t="str">
        <x:v>MIT</x:v>
      </x:c>
      <x:c r="S22" s="41" t="n">
        <x:v>270</x:v>
      </x:c>
      <x:c r="T22" s="42" t="n">
        <x:v>46192</x:v>
      </x:c>
      <x:c r="U22" s="36" t="str">
        <x:v>https://github.com/wentorai/research-plugins/blob/main/skills/writing/composition/SKILL.md</x:v>
      </x:c>
      <x:c r="V22" s="36" t="str">
        <x:v>https://github.com/wentorai/research-plugins</x:v>
      </x:c>
    </x:row>
    <x:row r="23" ht="92" customHeight="1">
      <x:c r="A23" s="37" t="n">
        <x:v>19</x:v>
      </x:c>
      <x:c r="B23" s="38" t="str">
        <x:v>01-09 同行评审、审稿回复与修改</x:v>
      </x:c>
      <x:c r="C23" s="38" t="str">
        <x:v>证据检索型预审助手</x:v>
      </x:c>
      <x:c r="D23" s="35" t="str">
        <x:v>结合文献搜索检查手稿背景主张、遗漏引用和方法时效性。</x:v>
      </x:c>
      <x:c r="E23" s="35" t="str">
        <x:v>适合科研人员、研究生使用。</x:v>
      </x:c>
      <x:c r="F23" s="35" t="str">
        <x:v>适用于投稿前预审、背景引用补充、方法是否过时的检查。</x:v>
      </x:c>
      <x:c r="G23" s="35" t="str">
        <x:v>需要准备：Consensus 搜索服务。</x:v>
      </x:c>
      <x:c r="H23" s="35" t="str">
        <x:v>需要注意：依赖外部检索结果；不能将摘要匹配等同于完整证据核验。</x:v>
      </x:c>
      <x:c r="I23" s="37" t="str">
        <x:v>中</x:v>
      </x:c>
      <x:c r="J23" s="37" t="str">
        <x:v>C｜较多调整</x:v>
      </x:c>
      <x:c r="K23" s="35" t="str">
        <x:v>需要较多改写或配套服务，建议先做小范围试用再决定是否建设。具体建议：需将 Consensus 搜索替换为可用学术数据库或 MCP（让 AI 连接外部工具的通用方式）。</x:v>
      </x:c>
      <x:c r="L23" s="35" t="str">
        <x:v>说明已核验：已核对用途与使用说明；本次未安装、未运行，不能据此判断实际效果。</x:v>
      </x:c>
      <x:c r="M23" s="39" t="str">
        <x:v>peer-review-assistant</x:v>
      </x:c>
      <x:c r="N23" s="39" t="str">
        <x:v>GH-01-0019</x:v>
      </x:c>
      <x:c r="O23" s="36" t="str">
        <x:v>同行评审、Consensus、背景主张、遗漏文献</x:v>
      </x:c>
      <x:c r="P23" s="36" t="str">
        <x:v>Anthropic Claude Code / Agent Skills</x:v>
      </x:c>
      <x:c r="Q23" s="36" t="str">
        <x:v>社区 skill、开源仓库</x:v>
      </x:c>
      <x:c r="R23" s="39" t="str">
        <x:v>MIT</x:v>
      </x:c>
      <x:c r="S23" s="41" t="n">
        <x:v>33</x:v>
      </x:c>
      <x:c r="T23" s="42" t="n">
        <x:v>46203</x:v>
      </x:c>
      <x:c r="U23" s="36" t="str">
        <x:v>https://github.com/stephenturner/skill-peer-review-assistant/blob/main/SKILL.md</x:v>
      </x:c>
      <x:c r="V23" s="36" t="str">
        <x:v>https://github.com/stephenturner/skill-peer-review-assistant</x:v>
      </x:c>
    </x:row>
    <x:row r="24" ht="92" customHeight="1">
      <x:c r="A24" s="37" t="n">
        <x:v>20</x:v>
      </x:c>
      <x:c r="B24" s="38" t="str">
        <x:v>01-01 论文整体规划与流程管理</x:v>
      </x:c>
      <x:c r="C24" s="38" t="str">
        <x:v>贡献主线驱动的论文构建与重写</x:v>
      </x:c>
      <x:c r="D24" s="35" t="str">
        <x:v>围绕已确认的核心贡献和研究动机构建、重写并审计论文或研究报告。</x:v>
      </x:c>
      <x:c r="E24" s="35" t="str">
        <x:v>适合学生、科研人员、教学与科研支持人员使用。</x:v>
      </x:c>
      <x:c r="F24" s="35" t="str">
        <x:v>适用于论文从材料到初稿、重大结构重写、投稿前证据与审稿风险审计。</x:v>
      </x:c>
      <x:c r="G24" s="35" t="str">
        <x:v>需要准备：Python（常用于数据处理和自动化的编程语言）；网络检索；按输出选择 LaTeX（常用于学术论文排版的工具）/PDF（常用的固定版式文档格式）或 Pandoc（转换多种文档格式的工具）/Word 配套工具。</x:v>
      </x:c>
      <x:c r="H24" s="35" t="str">
        <x:v>需要注意：流程较重且会生成较多中间产物；无固定 GitHub Release（项目维护者正式发布的版本包）；macOS 配置界面存在公开问题；不得把 humanize（让机器生成文本更接近自然表达的处理步骤）用作检测规避，也不得虚构证据或绕过付费墙。</x:v>
      </x:c>
      <x:c r="I24" s="37" t="str">
        <x:v>高</x:v>
      </x:c>
      <x:c r="J24" s="37" t="str">
        <x:v>A｜调整少</x:v>
      </x:c>
      <x:c r="K24" s="35" t="str">
        <x:v>基本可以直接放入现有 AI 工作台使用，但仍需按本校制度和工具设置进行检查。具体建议：高校部署时固定采用经过审核的版本，按本地工具调整设置，并默认停用未经审核的自动更新。</x:v>
      </x:c>
      <x:c r="L24" s="35" t="str">
        <x:v>包内容已核验：已核对用途说明和包内文件；本次未安装、未运行，不能据此判断实际效果。</x:v>
      </x:c>
      <x:c r="M24" s="39" t="str">
        <x:v>paper-spine</x:v>
      </x:c>
      <x:c r="N24" s="39" t="str">
        <x:v>GH-01-0020</x:v>
      </x:c>
      <x:c r="O24" s="36" t="str">
        <x:v>论文主线、贡献确认、证据库、章节蓝图、审稿审计</x:v>
      </x:c>
      <x:c r="P24" s="36" t="str">
        <x:v>OpenAI Codex、Anthropic Claude Code、其他明确命名生态（OpenClaw、Hermes CLI）</x:v>
      </x:c>
      <x:c r="Q24" s="36" t="str">
        <x:v>社区 skill、开源仓库、跨生态可移植工作流</x:v>
      </x:c>
      <x:c r="R24" s="39" t="str">
        <x:v>MIT</x:v>
      </x:c>
      <x:c r="S24" s="41" t="n">
        <x:v>4663</x:v>
      </x:c>
      <x:c r="T24" s="42" t="n">
        <x:v>46231</x:v>
      </x:c>
      <x:c r="U24" s="36" t="str">
        <x:v>https://github.com/WUBING2023/PaperSpine/blob/main/src/skill/SKILL.md</x:v>
      </x:c>
      <x:c r="V24" s="36" t="str">
        <x:v>https://github.com/WUBING2023/PaperSpine</x:v>
      </x:c>
    </x:row>
  </x:sheetData>
  <x:mergeCells>
    <x:mergeCell ref="A1:V1"/>
    <x:mergeCell ref="A2:V2"/>
    <x:mergeCell ref="A3:L3"/>
    <x:mergeCell ref="M3:V3"/>
  </x:mergeCells>
  <x:conditionalFormatting sqref="I5:I24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24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  <x:hyperlink ref="U10" r:id="rIdHyperlink11"/>
    <x:hyperlink ref="V10" r:id="rIdHyperlink12"/>
    <x:hyperlink ref="U11" r:id="rIdHyperlink13"/>
    <x:hyperlink ref="V11" r:id="rIdHyperlink14"/>
    <x:hyperlink ref="U12" r:id="rIdHyperlink15"/>
    <x:hyperlink ref="V12" r:id="rIdHyperlink16"/>
    <x:hyperlink ref="U13" r:id="rIdHyperlink17"/>
    <x:hyperlink ref="V13" r:id="rIdHyperlink18"/>
    <x:hyperlink ref="U14" r:id="rIdHyperlink19"/>
    <x:hyperlink ref="V14" r:id="rIdHyperlink20"/>
    <x:hyperlink ref="U15" r:id="rIdHyperlink21"/>
    <x:hyperlink ref="V15" r:id="rIdHyperlink22"/>
    <x:hyperlink ref="U16" r:id="rIdHyperlink23"/>
    <x:hyperlink ref="V16" r:id="rIdHyperlink24"/>
    <x:hyperlink ref="U17" r:id="rIdHyperlink25"/>
    <x:hyperlink ref="V17" r:id="rIdHyperlink26"/>
    <x:hyperlink ref="U18" r:id="rIdHyperlink27"/>
    <x:hyperlink ref="V18" r:id="rIdHyperlink28"/>
    <x:hyperlink ref="U19" r:id="rIdHyperlink29"/>
    <x:hyperlink ref="V19" r:id="rIdHyperlink30"/>
    <x:hyperlink ref="U20" r:id="rIdHyperlink31"/>
    <x:hyperlink ref="V20" r:id="rIdHyperlink32"/>
    <x:hyperlink ref="U21" r:id="rIdHyperlink33"/>
    <x:hyperlink ref="V21" r:id="rIdHyperlink34"/>
    <x:hyperlink ref="U22" r:id="rIdHyperlink35"/>
    <x:hyperlink ref="V22" r:id="rIdHyperlink36"/>
    <x:hyperlink ref="U23" r:id="rIdHyperlink37"/>
    <x:hyperlink ref="V23" r:id="rIdHyperlink38"/>
    <x:hyperlink ref="U24" r:id="rIdHyperlink39"/>
    <x:hyperlink ref="V24" r:id="rIdHyperlink40"/>
  </x:hyperlinks>
  <x:tableParts count="1">
    <x:tablePart xmlns:r="http://schemas.openxmlformats.org/officeDocument/2006/relationships" r:id="R348cfd39faa94cc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4" max="4" width="24" hidden="0" customWidth="1"/>
    <x:col min="7" max="7" width="24" hidden="0" customWidth="1"/>
    <x:col min="2" max="2" width="12" hidden="0" customWidth="1"/>
    <x:col min="5" max="5" width="12" hidden="0" customWidth="1"/>
    <x:col min="8" max="8" width="12" hidden="0" customWidth="1"/>
  </x:cols>
  <x:sheetData>
    <x:row r="1" ht="40" customHeight="1">
      <x:c r="A1" s="3" t="str">
        <x:v>学术写作、引用与出版｜大分类总览｜分类统计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COUNTA('AI技能清单'!$N$5:$N$24)</x:f>
        <x:v>20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小分类</x:v>
      </x:c>
      <x:c r="B5" s="50" t="str">
        <x:v>数量</x:v>
      </x:c>
      <x:c r="C5" s="51"/>
      <x:c r="D5" s="50" t="str">
        <x:v>推荐程度</x:v>
      </x:c>
      <x:c r="E5" s="50" t="str">
        <x:v>数量</x:v>
      </x:c>
      <x:c r="F5" s="51"/>
      <x:c r="G5" s="50" t="str">
        <x:v>接入难度</x:v>
      </x:c>
      <x:c r="H5" s="50" t="str">
        <x:v>数量</x:v>
      </x:c>
    </x:row>
    <x:row r="6">
      <x:c r="A6" s="47" t="str">
        <x:v>01-01 论文整体规划与流程管理</x:v>
      </x:c>
      <x:c r="B6" s="52" t="n">
        <x:f>COUNTIF('AI技能清单'!$B$5:$B$24,A6)</x:f>
        <x:v>2</x:v>
      </x:c>
      <x:c r="C6" s="51"/>
      <x:c r="D6" s="52" t="str">
        <x:v>高</x:v>
      </x:c>
      <x:c r="E6" s="52" t="n">
        <x:f>COUNTIF('AI技能清单'!$I$5:$I$24,D6)</x:f>
        <x:v>12</x:v>
      </x:c>
      <x:c r="F6" s="51"/>
      <x:c r="G6" s="52" t="str">
        <x:v>A｜调整少</x:v>
      </x:c>
      <x:c r="H6" s="52" t="n">
        <x:f>COUNTIF('AI技能清单'!$J$5:$J$24,G6)</x:f>
        <x:v>5</x:v>
      </x:c>
    </x:row>
    <x:row r="7">
      <x:c r="A7" s="47" t="str">
        <x:v>01-02 论文结构与章节写作</x:v>
      </x:c>
      <x:c r="B7" s="52" t="n">
        <x:f>COUNTIF('AI技能清单'!$B$5:$B$24,A7)</x:f>
        <x:v>5</x:v>
      </x:c>
      <x:c r="C7" s="51"/>
      <x:c r="D7" s="52" t="str">
        <x:v>中</x:v>
      </x:c>
      <x:c r="E7" s="52" t="n">
        <x:f>COUNTIF('AI技能清单'!$I$5:$I$24,D7)</x:f>
        <x:v>8</x:v>
      </x:c>
      <x:c r="F7" s="51"/>
      <x:c r="G7" s="52" t="str">
        <x:v>B｜少量调整</x:v>
      </x:c>
      <x:c r="H7" s="52" t="n">
        <x:f>COUNTIF('AI技能清单'!$J$5:$J$24,G7)</x:f>
        <x:v>14</x:v>
      </x:c>
    </x:row>
    <x:row r="8">
      <x:c r="A8" s="47" t="str">
        <x:v>01-03 摘要、关键词与篇幅压缩</x:v>
      </x:c>
      <x:c r="B8" s="52" t="n">
        <x:f>COUNTIF('AI技能清单'!$B$5:$B$24,A8)</x:f>
        <x:v>1</x:v>
      </x:c>
      <x:c r="C8" s="51"/>
      <x:c r="D8" s="52" t="str">
        <x:v>其他</x:v>
      </x:c>
      <x:c r="E8" s="52" t="n">
        <x:f>COUNTIF('AI技能清单'!$I$5:$I$24,"&lt;&gt;高")-COUNTIF('AI技能清单'!$I$5:$I$24,"中")</x:f>
        <x:v>0</x:v>
      </x:c>
      <x:c r="F8" s="51"/>
      <x:c r="G8" s="52" t="str">
        <x:v>C｜较多调整</x:v>
      </x:c>
      <x:c r="H8" s="52" t="n">
        <x:f>COUNTIF('AI技能清单'!$J$5:$J$24,G8)</x:f>
        <x:v>1</x:v>
      </x:c>
    </x:row>
    <x:row r="9">
      <x:c r="A9" s="47" t="str">
        <x:v>01-04 学术语言润色与表达改进</x:v>
      </x:c>
      <x:c r="B9" s="52" t="n">
        <x:f>COUNTIF('AI技能清单'!$B$5:$B$24,A9)</x:f>
        <x:v>1</x:v>
      </x:c>
      <x:c r="C9" s="51"/>
      <x:c r="D9" s="51"/>
      <x:c r="E9" s="51"/>
      <x:c r="F9" s="51"/>
      <x:c r="G9" s="52" t="str">
        <x:v>D｜仅参考</x:v>
      </x:c>
      <x:c r="H9" s="52" t="n">
        <x:f>COUNTIF('AI技能清单'!$J$5:$J$24,G9)</x:f>
        <x:v>0</x:v>
      </x:c>
    </x:row>
    <x:row r="10">
      <x:c r="A10" s="47" t="str">
        <x:v>01-05 引用、参考文献与文献库管理</x:v>
      </x:c>
      <x:c r="B10" s="52" t="n">
        <x:f>COUNTIF('AI技能清单'!$B$5:$B$24,A10)</x:f>
        <x:v>3</x:v>
      </x:c>
      <x:c r="C10" s="51"/>
      <x:c r="D10" s="51"/>
      <x:c r="E10" s="51"/>
      <x:c r="F10" s="51"/>
      <x:c r="G10" s="51"/>
      <x:c r="H10" s="51"/>
    </x:row>
    <x:row r="11">
      <x:c r="A11" s="47" t="str">
        <x:v>01-06 LaTeX 排版与在线协作</x:v>
      </x:c>
      <x:c r="B11" s="52" t="n">
        <x:f>COUNTIF('AI技能清单'!$B$5:$B$24,A11)</x:f>
        <x:v>2</x:v>
      </x:c>
      <x:c r="C11" s="51"/>
      <x:c r="D11" s="51"/>
      <x:c r="E11" s="51"/>
      <x:c r="F11" s="51"/>
      <x:c r="G11" s="51"/>
      <x:c r="H11" s="51"/>
    </x:row>
    <x:row r="12">
      <x:c r="A12" s="47" t="str">
        <x:v>01-07 投稿要求、模板与进度安排</x:v>
      </x:c>
      <x:c r="B12" s="52" t="n">
        <x:f>COUNTIF('AI技能清单'!$B$5:$B$24,A12)</x:f>
        <x:v>2</x:v>
      </x:c>
      <x:c r="C12" s="51"/>
      <x:c r="D12" s="51"/>
      <x:c r="E12" s="51"/>
      <x:c r="F12" s="51"/>
      <x:c r="G12" s="51"/>
      <x:c r="H12" s="51"/>
    </x:row>
    <x:row r="13">
      <x:c r="A13" s="47" t="str">
        <x:v>01-08 终稿、版权与出版前检查</x:v>
      </x:c>
      <x:c r="B13" s="52" t="n">
        <x:f>COUNTIF('AI技能清单'!$B$5:$B$24,A13)</x:f>
        <x:v>1</x:v>
      </x:c>
      <x:c r="C13" s="51"/>
      <x:c r="D13" s="51"/>
      <x:c r="E13" s="51"/>
      <x:c r="F13" s="51"/>
      <x:c r="G13" s="51"/>
      <x:c r="H13" s="51"/>
    </x:row>
    <x:row r="14">
      <x:c r="A14" s="47" t="str">
        <x:v>01-09 同行评审、审稿回复与修改</x:v>
      </x:c>
      <x:c r="B14" s="52" t="n">
        <x:f>COUNTIF('AI技能清单'!$B$5:$B$24,A14)</x:f>
        <x:v>3</x:v>
      </x:c>
      <x:c r="C14" s="51"/>
      <x:c r="D14" s="51"/>
      <x:c r="E14" s="51"/>
      <x:c r="F14" s="51"/>
      <x:c r="G14" s="51"/>
      <x:c r="H14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学术写作、引用与出版｜大分类总览｜来源清单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COUNTIF('AI技能清单'!$V$5:$V$24,B5)</x:f>
        <x:v>4</x:v>
      </x:c>
    </x:row>
    <x:row r="6" ht="68" customHeight="1">
      <x:c r="A6" s="35" t="str">
        <x:v>ShaishavMaisuria/research-paper-lifecycle-skills</x:v>
      </x:c>
      <x:c r="B6" s="35" t="str">
        <x:v>https://github.com/ShaishavMaisuria/research-paper-lifecycle-skills</x:v>
      </x:c>
      <x:c r="C6" s="35" t="str">
        <x:v>社区 skill、开源仓库</x:v>
      </x:c>
      <x:c r="D6" s="35" t="str">
        <x:v>Apache-2.0</x:v>
      </x:c>
      <x:c r="E6" s="56" t="n">
        <x:v>21</x:v>
      </x:c>
      <x:c r="F6" s="57" t="n">
        <x:v>46200</x:v>
      </x:c>
      <x:c r="G6" s="38" t="n">
        <x:f>COUNTIF('AI技能清单'!$V$5:$V$24,B6)</x:f>
        <x:v>9</x:v>
      </x:c>
    </x:row>
    <x:row r="7" ht="68" customHeight="1">
      <x:c r="A7" s="35" t="str">
        <x:v>WUBING2023/PaperSpine</x:v>
      </x:c>
      <x:c r="B7" s="35" t="str">
        <x:v>https://github.com/WUBING2023/PaperSpine</x:v>
      </x:c>
      <x:c r="C7" s="35" t="str">
        <x:v>社区 skill、开源仓库、跨生态可移植工作流</x:v>
      </x:c>
      <x:c r="D7" s="35" t="str">
        <x:v>MIT</x:v>
      </x:c>
      <x:c r="E7" s="56" t="n">
        <x:v>4663</x:v>
      </x:c>
      <x:c r="F7" s="57" t="n">
        <x:v>46231</x:v>
      </x:c>
      <x:c r="G7" s="38" t="n">
        <x:f>COUNTIF('AI技能清单'!$V$5:$V$24,B7)</x:f>
        <x:v>1</x:v>
      </x:c>
    </x:row>
    <x:row r="8" ht="68" customHeight="1">
      <x:c r="A8" s="35" t="str">
        <x:v>beita6969/ScienceClaw</x:v>
      </x:c>
      <x:c r="B8" s="35" t="str">
        <x:v>https://github.com/beita6969/ScienceClaw</x:v>
      </x:c>
      <x:c r="C8" s="35" t="str">
        <x:v>社区 skill、开源仓库</x:v>
      </x:c>
      <x:c r="D8" s="35" t="str">
        <x:v>MIT</x:v>
      </x:c>
      <x:c r="E8" s="56" t="n">
        <x:v>872</x:v>
      </x:c>
      <x:c r="F8" s="57" t="n">
        <x:v>46181</x:v>
      </x:c>
      <x:c r="G8" s="38" t="n">
        <x:f>COUNTIF('AI技能清单'!$V$5:$V$24,B8)</x:f>
        <x:v>3</x:v>
      </x:c>
    </x:row>
    <x:row r="9" ht="68" customHeight="1">
      <x:c r="A9" s="35" t="str">
        <x:v>stephenturner/skill-peer-review-assistant</x:v>
      </x:c>
      <x:c r="B9" s="35" t="str">
        <x:v>https://github.com/stephenturner/skill-peer-review-assistant</x:v>
      </x:c>
      <x:c r="C9" s="35" t="str">
        <x:v>社区 skill、开源仓库</x:v>
      </x:c>
      <x:c r="D9" s="35" t="str">
        <x:v>MIT</x:v>
      </x:c>
      <x:c r="E9" s="56" t="n">
        <x:v>33</x:v>
      </x:c>
      <x:c r="F9" s="57" t="n">
        <x:v>46203</x:v>
      </x:c>
      <x:c r="G9" s="38" t="n">
        <x:f>COUNTIF('AI技能清单'!$V$5:$V$24,B9)</x:f>
        <x:v>1</x:v>
      </x:c>
    </x:row>
    <x:row r="10" ht="68" customHeight="1">
      <x:c r="A10" s="35" t="str">
        <x:v>wentorai/research-plugins</x:v>
      </x:c>
      <x:c r="B10" s="35" t="str">
        <x:v>https://github.com/wentorai/research-plugins</x:v>
      </x:c>
      <x:c r="C10" s="35" t="str">
        <x:v>社区 skill、开源仓库、可移植工作流</x:v>
      </x:c>
      <x:c r="D10" s="35" t="str">
        <x:v>MIT</x:v>
      </x:c>
      <x:c r="E10" s="56" t="n">
        <x:v>270</x:v>
      </x:c>
      <x:c r="F10" s="57" t="n">
        <x:v>46192</x:v>
      </x:c>
      <x:c r="G10" s="38" t="n">
        <x:f>COUNTIF('AI技能清单'!$V$5:$V$24,B10)</x:f>
        <x:v>1</x:v>
      </x:c>
    </x:row>
    <x:row r="11" ht="68" customHeight="1">
      <x:c r="A11" s="35" t="str">
        <x:v>zLanqing/codex-claude-academic-skills</x:v>
      </x:c>
      <x:c r="B11" s="35" t="str">
        <x:v>https://github.com/zLanqing/codex-claude-academic-skills</x:v>
      </x:c>
      <x:c r="C11" s="35" t="str">
        <x:v>社区 skill、开源仓库</x:v>
      </x:c>
      <x:c r="D11" s="35" t="str">
        <x:v>MIT</x:v>
      </x:c>
      <x:c r="E11" s="56" t="n">
        <x:v>2613</x:v>
      </x:c>
      <x:c r="F11" s="57" t="n">
        <x:v>46156</x:v>
      </x:c>
      <x:c r="G11" s="38" t="n">
        <x:f>COUNTIF('AI技能清单'!$V$5:$V$24,B11)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  <x:hyperlink ref="B8" r:id="rIdHyperlink4"/>
    <x:hyperlink ref="B9" r:id="rIdHyperlink5"/>
    <x:hyperlink ref="B10" r:id="rIdHyperlink6"/>
    <x:hyperlink ref="B11" r:id="rIdHyperlink7"/>
  </x:hyperlinks>
  <x:tableParts count="1">
    <x:tablePart xmlns:r="http://schemas.openxmlformats.org/officeDocument/2006/relationships" r:id="R22d24e01f8214b14"/>
  </x:tableParts>
</x:worksheet>
</file>