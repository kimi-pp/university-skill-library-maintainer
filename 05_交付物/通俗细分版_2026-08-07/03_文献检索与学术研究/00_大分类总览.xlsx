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c4fee4c7b9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5ce11183290e4de9"/>
    <x:sheet xmlns:r="http://schemas.openxmlformats.org/officeDocument/2006/relationships" name="AI技能清单" sheetId="2" r:id="Rc14ff85819544c3d"/>
    <x:sheet xmlns:r="http://schemas.openxmlformats.org/officeDocument/2006/relationships" name="分类统计" sheetId="3" r:id="R48219a576f1a47cb"/>
    <x:sheet xmlns:r="http://schemas.openxmlformats.org/officeDocument/2006/relationships" name="来源清单" sheetId="4" r:id="R9e80bf5ad3ef49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9d6f70212b4cb0" /><Relationship Type="http://schemas.openxmlformats.org/officeDocument/2006/relationships/theme" Target="/xl/theme/theme1.xml" Id="R6cf0f76d568444d2" /><Relationship Type="http://schemas.openxmlformats.org/officeDocument/2006/relationships/sharedStrings" Target="/xl/sharedStrings.xml" Id="Rd96b157adbdd4647" /><Relationship Type="http://schemas.openxmlformats.org/officeDocument/2006/relationships/worksheet" Target="/xl/worksheets/sheet1.xml" Id="R5ce11183290e4de9" /><Relationship Type="http://schemas.openxmlformats.org/officeDocument/2006/relationships/worksheet" Target="/xl/worksheets/sheet2.xml" Id="Rc14ff85819544c3d" /><Relationship Type="http://schemas.openxmlformats.org/officeDocument/2006/relationships/worksheet" Target="/xl/worksheets/sheet3.xml" Id="R48219a576f1a47cb" /><Relationship Type="http://schemas.openxmlformats.org/officeDocument/2006/relationships/worksheet" Target="/xl/worksheets/sheet4.xml" Id="R9e80bf5ad3ef4900" /></Relationships>
</file>

<file path=xl/tables/table1.xml><?xml version="1.0" encoding="utf-8"?>
<x:table xmlns:x="http://schemas.openxmlformats.org/spreadsheetml/2006/main" id="1" name="SkillTable03overview" displayName="SkillTable03overview" ref="A4:V35" headerRowCount="1" totalsRowCount="0" totalsRowShown="0">
  <x:autoFilter ref="A4:V35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3overview" displayName="SourceTable03overview" ref="A4:G11" headerRowCount="1" totalsRowCount="0" totalsRowShown="0">
  <x:autoFilter ref="A4:G11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497733505e4e17" /><Relationship Id="rIdHyperlink1" Type="http://schemas.openxmlformats.org/officeDocument/2006/relationships/hyperlink" Target="https://github.com/K-Dense-AI/scientific-agent-skills/blob/main/skills/paper-lookup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K-Dense-AI/scientific-agent-skills/blob/main/skills/literature-review/SKILL.md" TargetMode="External" /><Relationship Id="rIdHyperlink4" Type="http://schemas.openxmlformats.org/officeDocument/2006/relationships/hyperlink" Target="https://github.com/K-Dense-AI/scientific-agent-skills" TargetMode="External" /><Relationship Id="rIdHyperlink5" Type="http://schemas.openxmlformats.org/officeDocument/2006/relationships/hyperlink" Target="https://github.com/K-Dense-AI/scientific-agent-skills/blob/main/skills/research-lookup/SKILL.md" TargetMode="External" /><Relationship Id="rIdHyperlink6" Type="http://schemas.openxmlformats.org/officeDocument/2006/relationships/hyperlink" Target="https://github.com/K-Dense-AI/scientific-agent-skills" TargetMode="External" /><Relationship Id="rIdHyperlink7" Type="http://schemas.openxmlformats.org/officeDocument/2006/relationships/hyperlink" Target="https://github.com/K-Dense-AI/scientific-agent-skills/blob/main/skills/scholar-evaluation/SKILL.md" TargetMode="External" /><Relationship Id="rIdHyperlink8" Type="http://schemas.openxmlformats.org/officeDocument/2006/relationships/hyperlink" Target="https://github.com/K-Dense-AI/scientific-agent-skills" TargetMode="External" /><Relationship Id="rIdHyperlink9" Type="http://schemas.openxmlformats.org/officeDocument/2006/relationships/hyperlink" Target="https://github.com/K-Dense-AI/scientific-agent-skills/blob/main/skills/open-notebook/SKILL.md" TargetMode="External" /><Relationship Id="rIdHyperlink10" Type="http://schemas.openxmlformats.org/officeDocument/2006/relationships/hyperlink" Target="https://github.com/K-Dense-AI/scientific-agent-skills" TargetMode="External" /><Relationship Id="rIdHyperlink11" Type="http://schemas.openxmlformats.org/officeDocument/2006/relationships/hyperlink" Target="https://github.com/K-Dense-AI/scientific-agent-skills/blob/main/skills/bgpt-paper-search/SKILL.md" TargetMode="External" /><Relationship Id="rIdHyperlink12" Type="http://schemas.openxmlformats.org/officeDocument/2006/relationships/hyperlink" Target="https://github.com/K-Dense-AI/scientific-agent-skills" TargetMode="External" /><Relationship Id="rIdHyperlink13" Type="http://schemas.openxmlformats.org/officeDocument/2006/relationships/hyperlink" Target="https://github.com/K-Dense-AI/scientific-agent-skills/blob/main/skills/hypothesis-generation/SKILL.md" TargetMode="External" /><Relationship Id="rIdHyperlink14" Type="http://schemas.openxmlformats.org/officeDocument/2006/relationships/hyperlink" Target="https://github.com/K-Dense-AI/scientific-agent-skills" TargetMode="External" /><Relationship Id="rIdHyperlink15" Type="http://schemas.openxmlformats.org/officeDocument/2006/relationships/hyperlink" Target="https://github.com/K-Dense-AI/scientific-agent-skills/blob/main/skills/scientific-critical-thinking/SKILL.md" TargetMode="External" /><Relationship Id="rIdHyperlink16" Type="http://schemas.openxmlformats.org/officeDocument/2006/relationships/hyperlink" Target="https://github.com/K-Dense-AI/scientific-agent-skills" TargetMode="External" /><Relationship Id="rIdHyperlink17" Type="http://schemas.openxmlformats.org/officeDocument/2006/relationships/hyperlink" Target="https://github.com/beita6969/ScienceClaw/blob/main/skills/academic-literature-search/SKILL.md" TargetMode="External" /><Relationship Id="rIdHyperlink18" Type="http://schemas.openxmlformats.org/officeDocument/2006/relationships/hyperlink" Target="https://github.com/beita6969/ScienceClaw" TargetMode="External" /><Relationship Id="rIdHyperlink19" Type="http://schemas.openxmlformats.org/officeDocument/2006/relationships/hyperlink" Target="https://github.com/beita6969/ScienceClaw/blob/main/skills/arxiv-search/SKILL.md" TargetMode="External" /><Relationship Id="rIdHyperlink20" Type="http://schemas.openxmlformats.org/officeDocument/2006/relationships/hyperlink" Target="https://github.com/beita6969/ScienceClaw" TargetMode="External" /><Relationship Id="rIdHyperlink21" Type="http://schemas.openxmlformats.org/officeDocument/2006/relationships/hyperlink" Target="https://github.com/beita6969/ScienceClaw/blob/main/skills/biorxiv-search/SKILL.md" TargetMode="External" /><Relationship Id="rIdHyperlink22" Type="http://schemas.openxmlformats.org/officeDocument/2006/relationships/hyperlink" Target="https://github.com/beita6969/ScienceClaw" TargetMode="External" /><Relationship Id="rIdHyperlink23" Type="http://schemas.openxmlformats.org/officeDocument/2006/relationships/hyperlink" Target="https://github.com/beita6969/ScienceClaw/blob/main/skills/crossref-search/SKILL.md" TargetMode="External" /><Relationship Id="rIdHyperlink24" Type="http://schemas.openxmlformats.org/officeDocument/2006/relationships/hyperlink" Target="https://github.com/beita6969/ScienceClaw" TargetMode="External" /><Relationship Id="rIdHyperlink25" Type="http://schemas.openxmlformats.org/officeDocument/2006/relationships/hyperlink" Target="https://github.com/beita6969/ScienceClaw/blob/main/skills/dblp-search/SKILL.md" TargetMode="External" /><Relationship Id="rIdHyperlink26" Type="http://schemas.openxmlformats.org/officeDocument/2006/relationships/hyperlink" Target="https://github.com/beita6969/ScienceClaw" TargetMode="External" /><Relationship Id="rIdHyperlink27" Type="http://schemas.openxmlformats.org/officeDocument/2006/relationships/hyperlink" Target="https://github.com/beita6969/ScienceClaw/blob/main/skills/openalex-search/SKILL.md" TargetMode="External" /><Relationship Id="rIdHyperlink28" Type="http://schemas.openxmlformats.org/officeDocument/2006/relationships/hyperlink" Target="https://github.com/beita6969/ScienceClaw" TargetMode="External" /><Relationship Id="rIdHyperlink29" Type="http://schemas.openxmlformats.org/officeDocument/2006/relationships/hyperlink" Target="https://github.com/beita6969/ScienceClaw/blob/main/skills/semantic-scholar/SKILL.md" TargetMode="External" /><Relationship Id="rIdHyperlink30" Type="http://schemas.openxmlformats.org/officeDocument/2006/relationships/hyperlink" Target="https://github.com/beita6969/ScienceClaw" TargetMode="External" /><Relationship Id="rIdHyperlink31" Type="http://schemas.openxmlformats.org/officeDocument/2006/relationships/hyperlink" Target="https://github.com/beita6969/ScienceClaw/blob/main/skills/lit-synthesizer/SKILL.md" TargetMode="External" /><Relationship Id="rIdHyperlink32" Type="http://schemas.openxmlformats.org/officeDocument/2006/relationships/hyperlink" Target="https://github.com/beita6969/ScienceClaw" TargetMode="External" /><Relationship Id="rIdHyperlink33" Type="http://schemas.openxmlformats.org/officeDocument/2006/relationships/hyperlink" Target="https://github.com/beita6969/ScienceClaw/blob/main/skills/meta-analysis/SKILL.md" TargetMode="External" /><Relationship Id="rIdHyperlink34" Type="http://schemas.openxmlformats.org/officeDocument/2006/relationships/hyperlink" Target="https://github.com/beita6969/ScienceClaw" TargetMode="External" /><Relationship Id="rIdHyperlink35" Type="http://schemas.openxmlformats.org/officeDocument/2006/relationships/hyperlink" Target="https://github.com/beita6969/ScienceClaw/blob/main/skills/asreview-screening/SKILL.md" TargetMode="External" /><Relationship Id="rIdHyperlink36" Type="http://schemas.openxmlformats.org/officeDocument/2006/relationships/hyperlink" Target="https://github.com/beita6969/ScienceClaw" TargetMode="External" /><Relationship Id="rIdHyperlink37" Type="http://schemas.openxmlformats.org/officeDocument/2006/relationships/hyperlink" Target="https://github.com/beita6969/ScienceClaw/blob/main/skills/academic-deep-research/SKILL.md" TargetMode="External" /><Relationship Id="rIdHyperlink38" Type="http://schemas.openxmlformats.org/officeDocument/2006/relationships/hyperlink" Target="https://github.com/beita6969/ScienceClaw" TargetMode="External" /><Relationship Id="rIdHyperlink39" Type="http://schemas.openxmlformats.org/officeDocument/2006/relationships/hyperlink" Target="https://github.com/beita6969/ScienceClaw/blob/main/skills/paper-analysis/SKILL.md" TargetMode="External" /><Relationship Id="rIdHyperlink40" Type="http://schemas.openxmlformats.org/officeDocument/2006/relationships/hyperlink" Target="https://github.com/beita6969/ScienceClaw" TargetMode="External" /><Relationship Id="rIdHyperlink41" Type="http://schemas.openxmlformats.org/officeDocument/2006/relationships/hyperlink" Target="https://github.com/beita6969/ScienceClaw/blob/main/skills/systematic-review/SKILL.md" TargetMode="External" /><Relationship Id="rIdHyperlink42" Type="http://schemas.openxmlformats.org/officeDocument/2006/relationships/hyperlink" Target="https://github.com/beita6969/ScienceClaw" TargetMode="External" /><Relationship Id="rIdHyperlink43" Type="http://schemas.openxmlformats.org/officeDocument/2006/relationships/hyperlink" Target="https://github.com/ustc-ai4science/academic-search/blob/main/SKILL.md" TargetMode="External" /><Relationship Id="rIdHyperlink44" Type="http://schemas.openxmlformats.org/officeDocument/2006/relationships/hyperlink" Target="https://github.com/ustc-ai4science/academic-search" TargetMode="External" /><Relationship Id="rIdHyperlink45" Type="http://schemas.openxmlformats.org/officeDocument/2006/relationships/hyperlink" Target="https://github.com/jkitchin/litdb/blob/main/SKILL.md" TargetMode="External" /><Relationship Id="rIdHyperlink46" Type="http://schemas.openxmlformats.org/officeDocument/2006/relationships/hyperlink" Target="https://github.com/jkitchin/litdb" TargetMode="External" /><Relationship Id="rIdHyperlink47" Type="http://schemas.openxmlformats.org/officeDocument/2006/relationships/hyperlink" Target="https://github.com/ShaishavMaisuria/research-paper-lifecycle-skills/blob/main/skills/find-papers/SKILL.md" TargetMode="External" /><Relationship Id="rIdHyperlink48" Type="http://schemas.openxmlformats.org/officeDocument/2006/relationships/hyperlink" Target="https://github.com/ShaishavMaisuria/research-paper-lifecycle-skills" TargetMode="External" /><Relationship Id="rIdHyperlink49" Type="http://schemas.openxmlformats.org/officeDocument/2006/relationships/hyperlink" Target="https://github.com/ShaishavMaisuria/research-paper-lifecycle-skills/blob/main/skills/fetch-paper/SKILL.md" TargetMode="External" /><Relationship Id="rIdHyperlink50" Type="http://schemas.openxmlformats.org/officeDocument/2006/relationships/hyperlink" Target="https://github.com/ShaishavMaisuria/research-paper-lifecycle-skills" TargetMode="External" /><Relationship Id="rIdHyperlink51" Type="http://schemas.openxmlformats.org/officeDocument/2006/relationships/hyperlink" Target="https://github.com/ShaishavMaisuria/research-paper-lifecycle-skills/blob/main/skills/literature-review/SKILL.md" TargetMode="External" /><Relationship Id="rIdHyperlink52" Type="http://schemas.openxmlformats.org/officeDocument/2006/relationships/hyperlink" Target="https://github.com/ShaishavMaisuria/research-paper-lifecycle-skills" TargetMode="External" /><Relationship Id="rIdHyperlink53" Type="http://schemas.openxmlformats.org/officeDocument/2006/relationships/hyperlink" Target="https://github.com/ShaishavMaisuria/research-paper-lifecycle-skills/blob/main/skills/draft-survey/SKILL.md" TargetMode="External" /><Relationship Id="rIdHyperlink54" Type="http://schemas.openxmlformats.org/officeDocument/2006/relationships/hyperlink" Target="https://github.com/ShaishavMaisuria/research-paper-lifecycle-skills" TargetMode="External" /><Relationship Id="rIdHyperlink55" Type="http://schemas.openxmlformats.org/officeDocument/2006/relationships/hyperlink" Target="https://github.com/ShaishavMaisuria/research-paper-lifecycle-skills/blob/main/skills/verify-claims/SKILL.md" TargetMode="External" /><Relationship Id="rIdHyperlink56" Type="http://schemas.openxmlformats.org/officeDocument/2006/relationships/hyperlink" Target="https://github.com/ShaishavMaisuria/research-paper-lifecycle-skills" TargetMode="External" /><Relationship Id="rIdHyperlink57" Type="http://schemas.openxmlformats.org/officeDocument/2006/relationships/hyperlink" Target="https://github.com/wentorai/Research-Claw/blob/main/skills/search-sop/SKILL.md" TargetMode="External" /><Relationship Id="rIdHyperlink58" Type="http://schemas.openxmlformats.org/officeDocument/2006/relationships/hyperlink" Target="https://github.com/wentorai/Research-Claw" TargetMode="External" /><Relationship Id="rIdHyperlink59" Type="http://schemas.openxmlformats.org/officeDocument/2006/relationships/hyperlink" Target="https://github.com/wentorai/Research-Claw/blob/main/skills/survey-sop/SKILL.md" TargetMode="External" /><Relationship Id="rIdHyperlink60" Type="http://schemas.openxmlformats.org/officeDocument/2006/relationships/hyperlink" Target="https://github.com/wentorai/Research-Claw" TargetMode="External" /><Relationship Id="rIdHyperlink61" Type="http://schemas.openxmlformats.org/officeDocument/2006/relationships/hyperlink" Target="https://github.com/keemanxp/slr-prisma/blob/main/SKILL.md" TargetMode="External" /><Relationship Id="rIdHyperlink62" Type="http://schemas.openxmlformats.org/officeDocument/2006/relationships/hyperlink" Target="https://github.com/keemanxp/slr-prisma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0e58bbdb2a62420a" /><Relationship Id="rIdHyperlink1" Type="http://schemas.openxmlformats.org/officeDocument/2006/relationships/hyperlink" Target="https://github.com/K-Dense-AI/scientific-agent-skills" TargetMode="External" /><Relationship Id="rIdHyperlink2" Type="http://schemas.openxmlformats.org/officeDocument/2006/relationships/hyperlink" Target="https://github.com/ShaishavMaisuria/research-paper-lifecycle-skills" TargetMode="External" /><Relationship Id="rIdHyperlink3" Type="http://schemas.openxmlformats.org/officeDocument/2006/relationships/hyperlink" Target="https://github.com/beita6969/ScienceClaw" TargetMode="External" /><Relationship Id="rIdHyperlink4" Type="http://schemas.openxmlformats.org/officeDocument/2006/relationships/hyperlink" Target="https://github.com/jkitchin/litdb" TargetMode="External" /><Relationship Id="rIdHyperlink5" Type="http://schemas.openxmlformats.org/officeDocument/2006/relationships/hyperlink" Target="https://github.com/keemanxp/slr-prisma" TargetMode="External" /><Relationship Id="rIdHyperlink6" Type="http://schemas.openxmlformats.org/officeDocument/2006/relationships/hyperlink" Target="https://github.com/ustc-ai4science/academic-search" TargetMode="External" /><Relationship Id="rIdHyperlink7" Type="http://schemas.openxmlformats.org/officeDocument/2006/relationships/hyperlink" Target="https://github.com/wentorai/Research-Claw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文献检索与学术研究｜大分类总览</x:v>
      </x:c>
      <x:c r="B1" s="3"/>
      <x:c r="C1" s="3"/>
      <x:c r="D1" s="3"/>
    </x:row>
    <x:row r="2" ht="28" customHeight="1">
      <x:c r="A2" s="7" t="str">
        <x:v>通俗细分版｜数据日期 2026-08-07｜收录 31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文献检索与学术研究｜大分类总览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31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03-01 多数据库综合查找</x:v>
      </x:c>
      <x:c r="C5" s="38" t="str">
        <x:v>多数据库论文检索</x:v>
      </x:c>
      <x:c r="D5" s="35" t="str">
        <x:v>通过十一种学术 API（软件之间交换信息的接口）检索论文、预印本、引文和开放全文。</x:v>
      </x:c>
      <x:c r="E5" s="35" t="str">
        <x:v>适合学生、科研人员、图书馆人员使用。</x:v>
      </x:c>
      <x:c r="F5" s="35" t="str">
        <x:v>适用于查 DOI（论文等数字资源的永久标识）/PMID（生物医学论文在 PubMed 中的编号）、找开放全文、引文网络和主题文献检索。</x:v>
      </x:c>
      <x:c r="G5" s="35" t="str">
        <x:v>需要准备：Python（常用于数据处理和自动化的编程语言）；多个公开学术 API。</x:v>
      </x:c>
      <x:c r="H5" s="35" t="str">
        <x:v>需要注意：API 覆盖和速率不同，检索结果不等同于质量判断。</x:v>
      </x:c>
      <x:c r="I5" s="37" t="str">
        <x:v>高</x:v>
      </x:c>
      <x:c r="J5" s="37" t="str">
        <x:v>A｜调整少</x:v>
      </x:c>
      <x:c r="K5" s="35" t="str">
        <x:v>基本可以直接放入现有 AI 工作台使用，但仍需按本校制度和工具设置进行检查。具体建议：可直接用于 Codex；按 API 可用性启用相应脚本。</x:v>
      </x:c>
      <x:c r="L5" s="35" t="str">
        <x:v>包内容已核验：已核对用途说明和包内文件；本次未安装、未运行，不能据此判断实际效果。</x:v>
      </x:c>
      <x:c r="M5" s="39" t="str">
        <x:v>paper-lookup</x:v>
      </x:c>
      <x:c r="N5" s="39" t="str">
        <x:v>GH-03-0001</x:v>
      </x:c>
      <x:c r="O5" s="36" t="str">
        <x:v>PubMed、PMC、arXiv、OpenAlex、Crossref、Semantic Scholar</x:v>
      </x:c>
      <x:c r="P5" s="36" t="str">
        <x:v>Agent Skills（兼容 Codex）</x:v>
      </x:c>
      <x:c r="Q5" s="36" t="str">
        <x:v>社区 skill、开源仓库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https://github.com/K-Dense-AI/scientific-agent-skills/blob/main/skills/paper-lookup/SKILL.md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03-08 主题性文献梳理与综述写作</x:v>
      </x:c>
      <x:c r="C6" s="38" t="str">
        <x:v>系统化文献综述</x:v>
      </x:c>
      <x:c r="D6" s="35" t="str">
        <x:v>跨多个学术数据库开展系统化文献综述并生成报告。</x:v>
      </x:c>
      <x:c r="E6" s="35" t="str">
        <x:v>适合学生、科研人员、图书馆人员使用。</x:v>
      </x:c>
      <x:c r="F6" s="35" t="str">
        <x:v>适用于综述论文、课题背景、系统检索与证据综合。</x:v>
      </x:c>
      <x:c r="G6" s="35" t="str">
        <x:v>需要准备：学术检索 API（软件之间交换信息的接口）；Python（常用于数据处理和自动化的编程语言） PDF 与引用工具。</x:v>
      </x:c>
      <x:c r="H6" s="35" t="str">
        <x:v>需要注意：完整性依赖检索策略；自动摘要不能替代全文核验。</x:v>
      </x:c>
      <x:c r="I6" s="37" t="str">
        <x:v>高</x:v>
      </x:c>
      <x:c r="J6" s="37" t="str">
        <x:v>A｜调整少</x:v>
      </x:c>
      <x:c r="K6" s="35" t="str">
        <x:v>基本可以直接放入现有 AI 工作台使用，但仍需按本校制度和工具设置进行检查。具体建议：直接复用流程；数据库和 PDF 生成工具按环境配置。</x:v>
      </x:c>
      <x:c r="L6" s="35" t="str">
        <x:v>包内容已核验：已核对用途说明和包内文件；本次未安装、未运行，不能据此判断实际效果。</x:v>
      </x:c>
      <x:c r="M6" s="39" t="str">
        <x:v>literature-review</x:v>
      </x:c>
      <x:c r="N6" s="39" t="str">
        <x:v>GH-03-0002</x:v>
      </x:c>
      <x:c r="O6" s="36" t="str">
        <x:v>文献综述、系统检索、研究综合、引文格式</x:v>
      </x:c>
      <x:c r="P6" s="36" t="str">
        <x:v>Agent Skills（兼容 Codex）</x:v>
      </x:c>
      <x:c r="Q6" s="36" t="str">
        <x:v>社区 skill、开源仓库</x:v>
      </x:c>
      <x:c r="R6" s="39" t="str">
        <x:v>MIT</x:v>
      </x:c>
      <x:c r="S6" s="41" t="n">
        <x:v>32822</x:v>
      </x:c>
      <x:c r="T6" s="42" t="n">
        <x:v>46237</x:v>
      </x:c>
      <x:c r="U6" s="36" t="str">
        <x:v>https://github.com/K-Dense-AI/scientific-agent-skills/blob/main/skills/literature-review/SKILL.md</x:v>
      </x:c>
      <x:c r="V6" s="36" t="str">
        <x:v>https://github.com/K-Dense-AI/scientific-agent-skills</x:v>
      </x:c>
    </x:row>
    <x:row r="7" ht="92" customHeight="1">
      <x:c r="A7" s="37" t="n">
        <x:v>3</x:v>
      </x:c>
      <x:c r="B7" s="38" t="str">
        <x:v>03-07 深度调研与证据材料整理</x:v>
      </x:c>
      <x:c r="C7" s="38" t="str">
        <x:v>科研证据包检索</x:v>
      </x:c>
      <x:c r="D7" s="35" t="str">
        <x:v>为科研手稿或研究简报汇集当前学术证据。</x:v>
      </x:c>
      <x:c r="E7" s="35" t="str">
        <x:v>适合科研人员、研究生使用。</x:v>
      </x:c>
      <x:c r="F7" s="35" t="str">
        <x:v>适用于论文背景证据、竞争结论、研究简报。</x:v>
      </x:c>
      <x:c r="G7" s="35" t="str">
        <x:v>需要准备：Parallel Search/Extract/Research；可选 Perplexity。</x:v>
      </x:c>
      <x:c r="H7" s="35" t="str">
        <x:v>需要注意：依赖商业外部服务，未授权材料不应上传。</x:v>
      </x:c>
      <x:c r="I7" s="37" t="str">
        <x:v>中</x:v>
      </x:c>
      <x:c r="J7" s="37" t="str">
        <x:v>C｜较多调整</x:v>
      </x:c>
      <x:c r="K7" s="35" t="str">
        <x:v>需要较多改写或配套服务，建议先做小范围试用再决定是否建设。具体建议：需替换 Parallel 系列工具或仅保留方法框架（组织工作步骤和配套工具的一套结构）。</x:v>
      </x:c>
      <x:c r="L7" s="35" t="str">
        <x:v>说明已核验：已核对用途与使用说明；本次未安装、未运行，不能据此判断实际效果。</x:v>
      </x:c>
      <x:c r="M7" s="39" t="str">
        <x:v>research-lookup</x:v>
      </x:c>
      <x:c r="N7" s="39" t="str">
        <x:v>GH-03-0003</x:v>
      </x:c>
      <x:c r="O7" s="36" t="str">
        <x:v>证据包、来源提取、背景研究、竞争发现</x:v>
      </x:c>
      <x:c r="P7" s="36" t="str">
        <x:v>Agent Skills（兼容 Codex）</x:v>
      </x:c>
      <x:c r="Q7" s="36" t="str">
        <x:v>社区 skill、开源仓库</x:v>
      </x:c>
      <x:c r="R7" s="39" t="str">
        <x:v>MIT</x:v>
      </x:c>
      <x:c r="S7" s="41" t="n">
        <x:v>32822</x:v>
      </x:c>
      <x:c r="T7" s="42" t="n">
        <x:v>46237</x:v>
      </x:c>
      <x:c r="U7" s="36" t="str">
        <x:v>https://github.com/K-Dense-AI/scientific-agent-skills/blob/main/skills/research-lookup/SKILL.md</x:v>
      </x:c>
      <x:c r="V7" s="36" t="str">
        <x:v>https://github.com/K-Dense-AI/scientific-agent-skills</x:v>
      </x:c>
    </x:row>
    <x:row r="8" ht="92" customHeight="1">
      <x:c r="A8" s="37" t="n">
        <x:v>4</x:v>
      </x:c>
      <x:c r="B8" s="38" t="str">
        <x:v>03-11 学术成果评价与反馈</x:v>
      </x:c>
      <x:c r="C8" s="38" t="str">
        <x:v>学术成果发展性评估</x:v>
      </x:c>
      <x:c r="D8" s="35" t="str">
        <x:v>对学术作品进行证据可追踪的发展性评审。</x:v>
      </x:c>
      <x:c r="E8" s="35" t="str">
        <x:v>适合教学人员、科研人员、研究生使用。</x:v>
      </x:c>
      <x:c r="F8" s="35" t="str">
        <x:v>适用于论文草稿反馈、课程研究作品评估、量表检查。</x:v>
      </x:c>
      <x:c r="G8" s="35" t="str">
        <x:v>需要准备：可选本地质量检查。</x:v>
      </x:c>
      <x:c r="H8" s="35" t="str">
        <x:v>需要注意：不适合招生、聘用或晋升等后果性决策。</x:v>
      </x:c>
      <x:c r="I8" s="37" t="str">
        <x:v>中</x:v>
      </x:c>
      <x:c r="J8" s="37" t="str">
        <x:v>A｜调整少</x:v>
      </x:c>
      <x:c r="K8" s="35" t="str">
        <x:v>基本可以直接放入现有 AI 工作台使用，但仍需按本校制度和工具设置进行检查。具体建议：可直接使用；将评价限定为作品改进。</x:v>
      </x:c>
      <x:c r="L8" s="35" t="str">
        <x:v>说明已核验：已核对用途与使用说明；本次未安装、未运行，不能据此判断实际效果。</x:v>
      </x:c>
      <x:c r="M8" s="39" t="str">
        <x:v>scholar-evaluation</x:v>
      </x:c>
      <x:c r="N8" s="39" t="str">
        <x:v>GH-03-0004</x:v>
      </x:c>
      <x:c r="O8" s="36" t="str">
        <x:v>学术评价、证据追踪、量表审计、发展性反馈</x:v>
      </x:c>
      <x:c r="P8" s="36" t="str">
        <x:v>Agent Skills（兼容 Codex）</x:v>
      </x:c>
      <x:c r="Q8" s="36" t="str">
        <x:v>社区 skill、开源仓库</x:v>
      </x:c>
      <x:c r="R8" s="39" t="str">
        <x:v>MIT</x:v>
      </x:c>
      <x:c r="S8" s="41" t="n">
        <x:v>32822</x:v>
      </x:c>
      <x:c r="T8" s="42" t="n">
        <x:v>46237</x:v>
      </x:c>
      <x:c r="U8" s="36" t="str">
        <x:v>https://github.com/K-Dense-AI/scientific-agent-skills/blob/main/skills/scholar-evaluation/SKILL.md</x:v>
      </x:c>
      <x:c r="V8" s="36" t="str">
        <x:v>https://github.com/K-Dense-AI/scientific-agent-skills</x:v>
      </x:c>
    </x:row>
    <x:row r="9" ht="92" customHeight="1">
      <x:c r="A9" s="37" t="n">
        <x:v>5</x:v>
      </x:c>
      <x:c r="B9" s="38" t="str">
        <x:v>03-04 个人或团队文献库与研究笔记</x:v>
      </x:c>
      <x:c r="C9" s="38" t="str">
        <x:v>自托管研究笔记与文档问答</x:v>
      </x:c>
      <x:c r="D9" s="35" t="str">
        <x:v>使用 Open Notebook 组织研究资料、生成笔记并跨材料检索。</x:v>
      </x:c>
      <x:c r="E9" s="35" t="str">
        <x:v>适合学生、科研人员、图书馆人员使用。</x:v>
      </x:c>
      <x:c r="F9" s="35" t="str">
        <x:v>适用于个人研究库、课题组资料问答、长文档整理。</x:v>
      </x:c>
      <x:c r="G9" s="35" t="str">
        <x:v>需要准备：Docker（把软件及其运行环境打包部署的工具）/自托管服务、数据库和模型提供商。</x:v>
      </x:c>
      <x:c r="H9" s="35" t="str">
        <x:v>需要注意：部署与模型配置成本较高；导入资料需明确数据边界。</x:v>
      </x:c>
      <x:c r="I9" s="37" t="str">
        <x:v>中</x:v>
      </x:c>
      <x:c r="J9" s="37" t="str">
        <x:v>C｜较多调整</x:v>
      </x:c>
      <x:c r="K9" s="35" t="str">
        <x:v>需要较多改写或配套服务，建议先做小范围试用再决定是否建设。具体建议：需部署 Open Notebook 并配置模型；可仅借鉴笔记组织流程。</x:v>
      </x:c>
      <x:c r="L9" s="35" t="str">
        <x:v>说明已核验：已核对用途与使用说明；本次未安装、未运行，不能据此判断实际效果。</x:v>
      </x:c>
      <x:c r="M9" s="39" t="str">
        <x:v>open-notebook</x:v>
      </x:c>
      <x:c r="N9" s="39" t="str">
        <x:v>GH-03-0005</x:v>
      </x:c>
      <x:c r="O9" s="36" t="str">
        <x:v>研究笔记、文档问答、向量检索、播客、自托管</x:v>
      </x:c>
      <x:c r="P9" s="36" t="str">
        <x:v>Agent Skills（兼容 Codex）</x:v>
      </x:c>
      <x:c r="Q9" s="36" t="str">
        <x:v>社区 skill、开源仓库、可改造工作流</x:v>
      </x:c>
      <x:c r="R9" s="39" t="str">
        <x:v>MIT</x:v>
      </x:c>
      <x:c r="S9" s="41" t="n">
        <x:v>32822</x:v>
      </x:c>
      <x:c r="T9" s="42" t="n">
        <x:v>46237</x:v>
      </x:c>
      <x:c r="U9" s="36" t="str">
        <x:v>https://github.com/K-Dense-AI/scientific-agent-skills/blob/main/skills/open-notebook/SKILL.md</x:v>
      </x:c>
      <x:c r="V9" s="36" t="str">
        <x:v>https://github.com/K-Dense-AI/scientific-agent-skills</x:v>
      </x:c>
    </x:row>
    <x:row r="10" ht="92" customHeight="1">
      <x:c r="A10" s="37" t="n">
        <x:v>6</x:v>
      </x:c>
      <x:c r="B10" s="38" t="str">
        <x:v>03-02 特定学术数据库查找</x:v>
      </x:c>
      <x:c r="C10" s="38" t="str">
        <x:v>全文实验数据论文检索</x:v>
      </x:c>
      <x:c r="D10" s="35" t="str">
        <x:v>通过 BGPT（检索并整理生物医学论文的服务） MCP（让 AI 连接外部工具的通用方式）搜索论文并提取结构化实验字段。</x:v>
      </x:c>
      <x:c r="E10" s="35" t="str">
        <x:v>适合科研人员、研究生使用。</x:v>
      </x:c>
      <x:c r="F10" s="35" t="str">
        <x:v>适用于系统综述数据提取、实验方法和样本量比较。</x:v>
      </x:c>
      <x:c r="G10" s="35" t="str">
        <x:v>需要准备：BGPT MCP 服务。</x:v>
      </x:c>
      <x:c r="H10" s="35" t="str">
        <x:v>需要注意：外部抽取质量和覆盖需核验，不能直接作为原始研究证据。</x:v>
      </x:c>
      <x:c r="I10" s="37" t="str">
        <x:v>中</x:v>
      </x:c>
      <x:c r="J10" s="37" t="str">
        <x:v>C｜较多调整</x:v>
      </x:c>
      <x:c r="K10" s="35" t="str">
        <x:v>需要较多改写或配套服务，建议先做小范围试用再决定是否建设。具体建议：需要部署或连接 BGPT MCP；不可用时保留字段模板。</x:v>
      </x:c>
      <x:c r="L10" s="35" t="str">
        <x:v>说明已核验：已核对用途与使用说明；本次未安装、未运行，不能据此判断实际效果。</x:v>
      </x:c>
      <x:c r="M10" s="39" t="str">
        <x:v>bgpt-paper-search</x:v>
      </x:c>
      <x:c r="N10" s="39" t="str">
        <x:v>GH-03-0006</x:v>
      </x:c>
      <x:c r="O10" s="36" t="str">
        <x:v>BGPT、全文结构化数据、方法、样本量、质量分</x:v>
      </x:c>
      <x:c r="P10" s="36" t="str">
        <x:v>Agent Skills（兼容 Codex）</x:v>
      </x:c>
      <x:c r="Q10" s="36" t="str">
        <x:v>社区 skill、开源仓库</x:v>
      </x:c>
      <x:c r="R10" s="39" t="str">
        <x:v>MIT</x:v>
      </x:c>
      <x:c r="S10" s="41" t="n">
        <x:v>32822</x:v>
      </x:c>
      <x:c r="T10" s="42" t="n">
        <x:v>46237</x:v>
      </x:c>
      <x:c r="U10" s="36" t="str">
        <x:v>https://github.com/K-Dense-AI/scientific-agent-skills/blob/main/skills/bgpt-paper-search/SKILL.md</x:v>
      </x:c>
      <x:c r="V10" s="36" t="str">
        <x:v>https://github.com/K-Dense-AI/scientific-agent-skills</x:v>
      </x:c>
    </x:row>
    <x:row r="11" ht="92" customHeight="1">
      <x:c r="A11" s="37" t="n">
        <x:v>7</x:v>
      </x:c>
      <x:c r="B11" s="38" t="str">
        <x:v>03-06 研究问题与假设形成</x:v>
      </x:c>
      <x:c r="C11" s="38" t="str">
        <x:v>可检验假设生成</x:v>
      </x:c>
      <x:c r="D11" s="35" t="str">
        <x:v>把观察和初步发现转化为证据有界的可检验假设。</x:v>
      </x:c>
      <x:c r="E11" s="35" t="str">
        <x:v>适合学生、科研人员、教学人员使用。</x:v>
      </x:c>
      <x:c r="F11" s="35" t="str">
        <x:v>适用于研究设计课程、开题、实验计划和预注册。</x:v>
      </x:c>
      <x:c r="G11" s="35" t="str">
        <x:v>通常不需要额外安装其他工具；实际使用前仍应检查本校环境。</x:v>
      </x:c>
      <x:c r="H11" s="35" t="str">
        <x:v>需要注意：假设不是事实，生成内容可能受输入偏差影响。</x:v>
      </x:c>
      <x:c r="I11" s="37" t="str">
        <x:v>高</x:v>
      </x:c>
      <x:c r="J11" s="37" t="str">
        <x:v>A｜调整少</x:v>
      </x:c>
      <x:c r="K11" s="35" t="str">
        <x:v>基本可以直接放入现有 AI 工作台使用，但仍需按本校制度和工具设置进行检查。具体建议：可直接用于 Codex；输入证据需显式标注来源。</x:v>
      </x:c>
      <x:c r="L11" s="35" t="str">
        <x:v>说明已核验：已核对用途与使用说明；本次未安装、未运行，不能据此判断实际效果。</x:v>
      </x:c>
      <x:c r="M11" s="39" t="str">
        <x:v>hypothesis-generation</x:v>
      </x:c>
      <x:c r="N11" s="39" t="str">
        <x:v>GH-03-0007</x:v>
      </x:c>
      <x:c r="O11" s="36" t="str">
        <x:v>研究问题、假设、替代解释、预测、预注册</x:v>
      </x:c>
      <x:c r="P11" s="36" t="str">
        <x:v>Agent Skills（兼容 Codex）</x:v>
      </x:c>
      <x:c r="Q11" s="36" t="str">
        <x:v>社区 skill、开源仓库</x:v>
      </x:c>
      <x:c r="R11" s="39" t="str">
        <x:v>MIT</x:v>
      </x:c>
      <x:c r="S11" s="41" t="n">
        <x:v>32822</x:v>
      </x:c>
      <x:c r="T11" s="42" t="n">
        <x:v>46237</x:v>
      </x:c>
      <x:c r="U11" s="36" t="str">
        <x:v>https://github.com/K-Dense-AI/scientific-agent-skills/blob/main/skills/hypothesis-generation/SKILL.md</x:v>
      </x:c>
      <x:c r="V11" s="36" t="str">
        <x:v>https://github.com/K-Dense-AI/scientific-agent-skills</x:v>
      </x:c>
    </x:row>
    <x:row r="12" ht="92" customHeight="1">
      <x:c r="A12" s="37" t="n">
        <x:v>8</x:v>
      </x:c>
      <x:c r="B12" s="38" t="str">
        <x:v>03-05 论文阅读、提炼与批判性分析</x:v>
      </x:c>
      <x:c r="C12" s="38" t="str">
        <x:v>科学证据批判性分析</x:v>
      </x:c>
      <x:c r="D12" s="35" t="str">
        <x:v>评估科学主张、研究设计和证据质量。</x:v>
      </x:c>
      <x:c r="E12" s="35" t="str">
        <x:v>适合学生、教学人员、科研人员使用。</x:v>
      </x:c>
      <x:c r="F12" s="35" t="str">
        <x:v>适用于论文研读、研究方法教学、证据质量检查。</x:v>
      </x:c>
      <x:c r="G12" s="35" t="str">
        <x:v>通常不需要额外安装其他工具；实际使用前仍应检查本校环境。</x:v>
      </x:c>
      <x:c r="H12" s="35" t="str">
        <x:v>需要注意：框架（组织工作步骤和配套工具的一套结构）性判断仍需领域知识和完整材料。</x:v>
      </x:c>
      <x:c r="I12" s="37" t="str">
        <x:v>高</x:v>
      </x:c>
      <x:c r="J12" s="37" t="str">
        <x:v>A｜调整少</x:v>
      </x:c>
      <x:c r="K12" s="35" t="str">
        <x:v>基本可以直接放入现有 AI 工作台使用，但仍需按本校制度和工具设置进行检查。具体建议：可直接使用；按学科替换评价框架。</x:v>
      </x:c>
      <x:c r="L12" s="35" t="str">
        <x:v>说明已核验：已核对用途与使用说明；本次未安装、未运行，不能据此判断实际效果。</x:v>
      </x:c>
      <x:c r="M12" s="39" t="str">
        <x:v>scientific-critical-thinking</x:v>
      </x:c>
      <x:c r="N12" s="39" t="str">
        <x:v>GH-03-0008</x:v>
      </x:c>
      <x:c r="O12" s="36" t="str">
        <x:v>研究设计、偏倚、混杂、GRADE、风险评估</x:v>
      </x:c>
      <x:c r="P12" s="36" t="str">
        <x:v>Agent Skills（兼容 Codex）</x:v>
      </x:c>
      <x:c r="Q12" s="36" t="str">
        <x:v>社区 skill、开源仓库</x:v>
      </x:c>
      <x:c r="R12" s="39" t="str">
        <x:v>MIT</x:v>
      </x:c>
      <x:c r="S12" s="41" t="n">
        <x:v>32822</x:v>
      </x:c>
      <x:c r="T12" s="42" t="n">
        <x:v>46237</x:v>
      </x:c>
      <x:c r="U12" s="36" t="str">
        <x:v>https://github.com/K-Dense-AI/scientific-agent-skills/blob/main/skills/scientific-critical-thinking/SKILL.md</x:v>
      </x:c>
      <x:c r="V12" s="36" t="str">
        <x:v>https://github.com/K-Dense-AI/scientific-agent-skills</x:v>
      </x:c>
    </x:row>
    <x:row r="13" ht="92" customHeight="1">
      <x:c r="A13" s="37" t="n">
        <x:v>9</x:v>
      </x:c>
      <x:c r="B13" s="38" t="str">
        <x:v>03-01 多数据库综合查找</x:v>
      </x:c>
      <x:c r="C13" s="38" t="str">
        <x:v>中文学术检索与引用管理</x:v>
      </x:c>
      <x:c r="D13" s="35" t="str">
        <x:v>以中文说明多工具学术检索和引文管理流程。</x:v>
      </x:c>
      <x:c r="E13" s="35" t="str">
        <x:v>适合学生、科研人员、图书馆人员使用。</x:v>
      </x:c>
      <x:c r="F13" s="35" t="str">
        <x:v>适用于中文课题检索培训、医学与综合文献检索。</x:v>
      </x:c>
      <x:c r="G13" s="35" t="str">
        <x:v>需要准备：PubMed MCP（让 AI 连接外部工具的通用方式）及其他外部搜索工具。</x:v>
      </x:c>
      <x:c r="H13" s="35" t="str">
        <x:v>需要注意：工具依赖较强，部分数据库范围偏医学。</x:v>
      </x:c>
      <x:c r="I13" s="37" t="str">
        <x:v>中</x:v>
      </x:c>
      <x:c r="J13" s="37" t="str">
        <x:v>C｜较多调整</x:v>
      </x:c>
      <x:c r="K13" s="35" t="str">
        <x:v>需要较多改写或配套服务，建议先做小范围试用再决定是否建设。具体建议：替换 OpenClaw MCP 名称并保留平台使用安排表。</x:v>
      </x:c>
      <x:c r="L13" s="35" t="str">
        <x:v>说明已核验：已核对用途与使用说明；本次未安装、未运行，不能据此判断实际效果。</x:v>
      </x:c>
      <x:c r="M13" s="39" t="str">
        <x:v>academic-literature-search</x:v>
      </x:c>
      <x:c r="N13" s="39" t="str">
        <x:v>GH-03-0009</x:v>
      </x:c>
      <x:c r="O13" s="36" t="str">
        <x:v>PubMed、中文流程、工具路由、引文管理</x:v>
      </x:c>
      <x:c r="P13" s="36" t="str">
        <x:v>其他明确命名生态（OpenClaw）</x:v>
      </x:c>
      <x:c r="Q13" s="36" t="str">
        <x:v>社区 skill、开源仓库</x:v>
      </x:c>
      <x:c r="R13" s="39" t="str">
        <x:v>MIT</x:v>
      </x:c>
      <x:c r="S13" s="41" t="n">
        <x:v>872</x:v>
      </x:c>
      <x:c r="T13" s="42" t="n">
        <x:v>46181</x:v>
      </x:c>
      <x:c r="U13" s="36" t="str">
        <x:v>https://github.com/beita6969/ScienceClaw/blob/main/skills/academic-literature-search/SKILL.md</x:v>
      </x:c>
      <x:c r="V13" s="36" t="str">
        <x:v>https://github.com/beita6969/ScienceClaw</x:v>
      </x:c>
    </x:row>
    <x:row r="14" ht="92" customHeight="1">
      <x:c r="A14" s="37" t="n">
        <x:v>10</x:v>
      </x:c>
      <x:c r="B14" s="38" t="str">
        <x:v>03-02 特定学术数据库查找</x:v>
      </x:c>
      <x:c r="C14" s="38" t="str">
        <x:v>arXiv 预印本检索</x:v>
      </x:c>
      <x:c r="D14" s="35" t="str">
        <x:v>按主题、作者和分类检索 arXiv 预印本。</x:v>
      </x:c>
      <x:c r="E14" s="35" t="str">
        <x:v>适合学生、科研人员使用。</x:v>
      </x:c>
      <x:c r="F14" s="35" t="str">
        <x:v>适用于计算机、物理、数学等领域前沿预印本跟踪。</x:v>
      </x:c>
      <x:c r="G14" s="35" t="str">
        <x:v>需要准备：arXiv API（软件之间交换信息的接口）。</x:v>
      </x:c>
      <x:c r="H14" s="35" t="str">
        <x:v>需要注意：预印本未必经过同行评审；API 速率需遵守。</x:v>
      </x:c>
      <x:c r="I14" s="37" t="str">
        <x:v>中</x:v>
      </x:c>
      <x:c r="J14" s="37" t="str">
        <x:v>B｜少量调整</x:v>
      </x:c>
      <x:c r="K14" s="35" t="str">
        <x:v>经过少量调整后可以使用，常见调整包括更换工具、路径或账号设置。具体建议：对应到 Codex 网络或本地 API 脚本。</x:v>
      </x:c>
      <x:c r="L14" s="35" t="str">
        <x:v>说明已核验：已核对用途与使用说明；本次未安装、未运行，不能据此判断实际效果。</x:v>
      </x:c>
      <x:c r="M14" s="39" t="str">
        <x:v>arxiv-search</x:v>
      </x:c>
      <x:c r="N14" s="39" t="str">
        <x:v>GH-03-0010</x:v>
      </x:c>
      <x:c r="O14" s="36" t="str">
        <x:v>arXiv、预印本、作者、分类、元数据</x:v>
      </x:c>
      <x:c r="P14" s="36" t="str">
        <x:v>其他明确命名生态（OpenClaw）</x:v>
      </x:c>
      <x:c r="Q14" s="36" t="str">
        <x:v>社区 skill、开源仓库</x:v>
      </x:c>
      <x:c r="R14" s="39" t="str">
        <x:v>MIT</x:v>
      </x:c>
      <x:c r="S14" s="41" t="n">
        <x:v>872</x:v>
      </x:c>
      <x:c r="T14" s="42" t="n">
        <x:v>46181</x:v>
      </x:c>
      <x:c r="U14" s="36" t="str">
        <x:v>https://github.com/beita6969/ScienceClaw/blob/main/skills/arxiv-search/SKILL.md</x:v>
      </x:c>
      <x:c r="V14" s="36" t="str">
        <x:v>https://github.com/beita6969/ScienceClaw</x:v>
      </x:c>
    </x:row>
    <x:row r="15" ht="92" customHeight="1">
      <x:c r="A15" s="37" t="n">
        <x:v>11</x:v>
      </x:c>
      <x:c r="B15" s="38" t="str">
        <x:v>03-02 特定学术数据库查找</x:v>
      </x:c>
      <x:c r="C15" s="38" t="str">
        <x:v>bioRxiv 语义检索</x:v>
      </x:c>
      <x:c r="D15" s="35" t="str">
        <x:v>用自然语言语义检索 bioRxiv 生命科学预印本。</x:v>
      </x:c>
      <x:c r="E15" s="35" t="str">
        <x:v>适合科研人员、研究生使用。</x:v>
      </x:c>
      <x:c r="F15" s="35" t="str">
        <x:v>适用于生命科学前沿追踪、预印本发现。</x:v>
      </x:c>
      <x:c r="G15" s="35" t="str">
        <x:v>需要准备：Valyu 服务与项目资料库中的小程序。</x:v>
      </x:c>
      <x:c r="H15" s="35" t="str">
        <x:v>需要注意：商业语义搜索的排序和覆盖不可完全复现。</x:v>
      </x:c>
      <x:c r="I15" s="37" t="str">
        <x:v>中</x:v>
      </x:c>
      <x:c r="J15" s="37" t="str">
        <x:v>C｜较多调整</x:v>
      </x:c>
      <x:c r="K15" s="35" t="str">
        <x:v>需要较多改写或配套服务，建议先做小范围试用再决定是否建设。具体建议：需要配置 Valyu；也可改为 bioRxiv 官方 API（软件之间交换信息的接口）关键词检索。</x:v>
      </x:c>
      <x:c r="L15" s="35" t="str">
        <x:v>说明已核验：已核对用途与使用说明；本次未安装、未运行，不能据此判断实际效果。</x:v>
      </x:c>
      <x:c r="M15" s="39" t="str">
        <x:v>biorxiv-search</x:v>
      </x:c>
      <x:c r="N15" s="39" t="str">
        <x:v>GH-03-0011</x:v>
      </x:c>
      <x:c r="O15" s="36" t="str">
        <x:v>bioRxiv、生命科学、预印本、语义检索</x:v>
      </x:c>
      <x:c r="P15" s="36" t="str">
        <x:v>其他明确命名生态（OpenClaw）</x:v>
      </x:c>
      <x:c r="Q15" s="36" t="str">
        <x:v>社区 skill、开源仓库</x:v>
      </x:c>
      <x:c r="R15" s="39" t="str">
        <x:v>MIT</x:v>
      </x:c>
      <x:c r="S15" s="41" t="n">
        <x:v>872</x:v>
      </x:c>
      <x:c r="T15" s="42" t="n">
        <x:v>46181</x:v>
      </x:c>
      <x:c r="U15" s="36" t="str">
        <x:v>https://github.com/beita6969/ScienceClaw/blob/main/skills/biorxiv-search/SKILL.md</x:v>
      </x:c>
      <x:c r="V15" s="36" t="str">
        <x:v>https://github.com/beita6969/ScienceClaw</x:v>
      </x:c>
    </x:row>
    <x:row r="16" ht="92" customHeight="1">
      <x:c r="A16" s="37" t="n">
        <x:v>12</x:v>
      </x:c>
      <x:c r="B16" s="38" t="str">
        <x:v>03-02 特定学术数据库查找</x:v>
      </x:c>
      <x:c r="C16" s="38" t="str">
        <x:v>Crossref DOI 与出版元数据</x:v>
      </x:c>
      <x:c r="D16" s="35" t="str">
        <x:v>通过 Crossref API（软件之间交换信息的接口）查询 DOI（论文等数字资源的永久标识）、出版物和期刊元数据（描述资料的信息，如题名、作者和日期）。</x:v>
      </x:c>
      <x:c r="E16" s="35" t="str">
        <x:v>适合科研人员、学生、图书馆人员使用。</x:v>
      </x:c>
      <x:c r="F16" s="35" t="str">
        <x:v>适用于参考文献校验、DOI 补全、出版元数据核对。</x:v>
      </x:c>
      <x:c r="G16" s="35" t="str">
        <x:v>需要准备：Crossref REST（通过网址使用网络服务的一种方式） API。</x:v>
      </x:c>
      <x:c r="H16" s="35" t="str">
        <x:v>需要注意：元数据由成员提交，字段可能缺失或存在版本差异。</x:v>
      </x:c>
      <x:c r="I16" s="37" t="str">
        <x:v>中</x:v>
      </x:c>
      <x:c r="J16" s="37" t="str">
        <x:v>B｜少量调整</x:v>
      </x:c>
      <x:c r="K16" s="35" t="str">
        <x:v>经过少量调整后可以使用，常见调整包括更换工具、路径或账号设置。具体建议：替换为 Codex HTTP（网页服务常用的通信规则）或现有 paper-lookup 脚本。</x:v>
      </x:c>
      <x:c r="L16" s="35" t="str">
        <x:v>说明已核验：已核对用途与使用说明；本次未安装、未运行，不能据此判断实际效果。</x:v>
      </x:c>
      <x:c r="M16" s="39" t="str">
        <x:v>crossref-search</x:v>
      </x:c>
      <x:c r="N16" s="39" t="str">
        <x:v>GH-03-0012</x:v>
      </x:c>
      <x:c r="O16" s="36" t="str">
        <x:v>Crossref、DOI、期刊元数据、出版社</x:v>
      </x:c>
      <x:c r="P16" s="36" t="str">
        <x:v>其他明确命名生态（OpenClaw）</x:v>
      </x:c>
      <x:c r="Q16" s="36" t="str">
        <x:v>社区 skill、开源仓库</x:v>
      </x:c>
      <x:c r="R16" s="39" t="str">
        <x:v>MIT</x:v>
      </x:c>
      <x:c r="S16" s="41" t="n">
        <x:v>872</x:v>
      </x:c>
      <x:c r="T16" s="42" t="n">
        <x:v>46181</x:v>
      </x:c>
      <x:c r="U16" s="36" t="str">
        <x:v>https://github.com/beita6969/ScienceClaw/blob/main/skills/crossref-search/SKILL.md</x:v>
      </x:c>
      <x:c r="V16" s="36" t="str">
        <x:v>https://github.com/beita6969/ScienceClaw</x:v>
      </x:c>
    </x:row>
    <x:row r="17" ht="92" customHeight="1">
      <x:c r="A17" s="37" t="n">
        <x:v>13</x:v>
      </x:c>
      <x:c r="B17" s="38" t="str">
        <x:v>03-02 特定学术数据库查找</x:v>
      </x:c>
      <x:c r="C17" s="38" t="str">
        <x:v>DBLP 计算机文献检索</x:v>
      </x:c>
      <x:c r="D17" s="35" t="str">
        <x:v>通过 DBLP（计算机领域文献数据库） API（软件之间交换信息的接口）查询计算机科学出版物、作者和会场。</x:v>
      </x:c>
      <x:c r="E17" s="35" t="str">
        <x:v>适合计算机类学生、科研人员、图书馆人员使用。</x:v>
      </x:c>
      <x:c r="F17" s="35" t="str">
        <x:v>适用于CS（计算机科学）文献检索、作者消歧、会议论文集核对。</x:v>
      </x:c>
      <x:c r="G17" s="35" t="str">
        <x:v>需要准备：DBLP API。</x:v>
      </x:c>
      <x:c r="H17" s="35" t="str">
        <x:v>需要注意：作者同名和会场别名需要进一步处理。</x:v>
      </x:c>
      <x:c r="I17" s="37" t="str">
        <x:v>中</x:v>
      </x:c>
      <x:c r="J17" s="37" t="str">
        <x:v>B｜少量调整</x:v>
      </x:c>
      <x:c r="K17" s="35" t="str">
        <x:v>经过少量调整后可以使用，常见调整包括更换工具、路径或账号设置。具体建议：对应到 Codex HTTP（网页服务常用的通信规则）请求或 find-papers 脚本。</x:v>
      </x:c>
      <x:c r="L17" s="35" t="str">
        <x:v>说明已核验：已核对用途与使用说明；本次未安装、未运行，不能据此判断实际效果。</x:v>
      </x:c>
      <x:c r="M17" s="39" t="str">
        <x:v>dblp-search</x:v>
      </x:c>
      <x:c r="N17" s="39" t="str">
        <x:v>GH-03-0013</x:v>
      </x:c>
      <x:c r="O17" s="36" t="str">
        <x:v>DBLP、计算机科学、作者、会议、期刊</x:v>
      </x:c>
      <x:c r="P17" s="36" t="str">
        <x:v>其他明确命名生态（OpenClaw）</x:v>
      </x:c>
      <x:c r="Q17" s="36" t="str">
        <x:v>社区 skill、开源仓库</x:v>
      </x:c>
      <x:c r="R17" s="39" t="str">
        <x:v>MIT</x:v>
      </x:c>
      <x:c r="S17" s="41" t="n">
        <x:v>872</x:v>
      </x:c>
      <x:c r="T17" s="42" t="n">
        <x:v>46181</x:v>
      </x:c>
      <x:c r="U17" s="36" t="str">
        <x:v>https://github.com/beita6969/ScienceClaw/blob/main/skills/dblp-search/SKILL.md</x:v>
      </x:c>
      <x:c r="V17" s="36" t="str">
        <x:v>https://github.com/beita6969/ScienceClaw</x:v>
      </x:c>
    </x:row>
    <x:row r="18" ht="92" customHeight="1">
      <x:c r="A18" s="37" t="n">
        <x:v>14</x:v>
      </x:c>
      <x:c r="B18" s="38" t="str">
        <x:v>03-02 特定学术数据库查找</x:v>
      </x:c>
      <x:c r="C18" s="38" t="str">
        <x:v>OpenAlex 开放学术图谱检索</x:v>
      </x:c>
      <x:c r="D18" s="35" t="str">
        <x:v>通过 OpenAlex 查询论文、作者、机构和开放引文数据。</x:v>
      </x:c>
      <x:c r="E18" s="35" t="str">
        <x:v>适合科研人员、图书馆人员、科研管理人员使用。</x:v>
      </x:c>
      <x:c r="F18" s="35" t="str">
        <x:v>适用于机构科研分析、作者画像、主题与引文网络。</x:v>
      </x:c>
      <x:c r="G18" s="35" t="str">
        <x:v>需要准备：OpenAlex API（软件之间交换信息的接口）。</x:v>
      </x:c>
      <x:c r="H18" s="35" t="str">
        <x:v>需要注意：实体消歧和概念标签并非人工权威分类。</x:v>
      </x:c>
      <x:c r="I18" s="37" t="str">
        <x:v>高</x:v>
      </x:c>
      <x:c r="J18" s="37" t="str">
        <x:v>B｜少量调整</x:v>
      </x:c>
      <x:c r="K18" s="35" t="str">
        <x:v>经过少量调整后可以使用，常见调整包括更换工具、路径或账号设置。具体建议：对应到 paper-lookup 或直接 OpenAlex API。</x:v>
      </x:c>
      <x:c r="L18" s="35" t="str">
        <x:v>说明已核验：已核对用途与使用说明；本次未安装、未运行，不能据此判断实际效果。</x:v>
      </x:c>
      <x:c r="M18" s="39" t="str">
        <x:v>openalex-search</x:v>
      </x:c>
      <x:c r="N18" s="39" t="str">
        <x:v>GH-03-0014</x:v>
      </x:c>
      <x:c r="O18" s="36" t="str">
        <x:v>OpenAlex、作者、机构、概念、开放引文</x:v>
      </x:c>
      <x:c r="P18" s="36" t="str">
        <x:v>其他明确命名生态（OpenClaw）</x:v>
      </x:c>
      <x:c r="Q18" s="36" t="str">
        <x:v>社区 skill、开源仓库</x:v>
      </x:c>
      <x:c r="R18" s="39" t="str">
        <x:v>MIT</x:v>
      </x:c>
      <x:c r="S18" s="41" t="n">
        <x:v>872</x:v>
      </x:c>
      <x:c r="T18" s="42" t="n">
        <x:v>46181</x:v>
      </x:c>
      <x:c r="U18" s="36" t="str">
        <x:v>https://github.com/beita6969/ScienceClaw/blob/main/skills/openalex-search/SKILL.md</x:v>
      </x:c>
      <x:c r="V18" s="36" t="str">
        <x:v>https://github.com/beita6969/ScienceClaw</x:v>
      </x:c>
    </x:row>
    <x:row r="19" ht="92" customHeight="1">
      <x:c r="A19" s="37" t="n">
        <x:v>15</x:v>
      </x:c>
      <x:c r="B19" s="38" t="str">
        <x:v>03-02 特定学术数据库查找</x:v>
      </x:c>
      <x:c r="C19" s="38" t="str">
        <x:v>Semantic Scholar 引文图谱</x:v>
      </x:c>
      <x:c r="D19" s="35" t="str">
        <x:v>跨学科检索 Semantic Scholar 并遍历引用和参考文献。</x:v>
      </x:c>
      <x:c r="E19" s="35" t="str">
        <x:v>适合学生、科研人员、图书馆人员使用。</x:v>
      </x:c>
      <x:c r="F19" s="35" t="str">
        <x:v>适用于种子论文扩展、相关论文推荐、引文网络。</x:v>
      </x:c>
      <x:c r="G19" s="35" t="str">
        <x:v>需要准备：Semantic Scholar API（软件之间交换信息的接口）；高频请求可能需要密钥。</x:v>
      </x:c>
      <x:c r="H19" s="35" t="str">
        <x:v>需要注意：引用数和论文合并记录会更新，不能作为唯一评价依据。</x:v>
      </x:c>
      <x:c r="I19" s="37" t="str">
        <x:v>高</x:v>
      </x:c>
      <x:c r="J19" s="37" t="str">
        <x:v>B｜少量调整</x:v>
      </x:c>
      <x:c r="K19" s="35" t="str">
        <x:v>经过少量调整后可以使用，常见调整包括更换工具、路径或账号设置。具体建议：对应到 paper-lookup 或 Semantic Scholar API。</x:v>
      </x:c>
      <x:c r="L19" s="35" t="str">
        <x:v>说明已核验：已核对用途与使用说明；本次未安装、未运行，不能据此判断实际效果。</x:v>
      </x:c>
      <x:c r="M19" s="39" t="str">
        <x:v>semantic-scholar</x:v>
      </x:c>
      <x:c r="N19" s="39" t="str">
        <x:v>GH-03-0015</x:v>
      </x:c>
      <x:c r="O19" s="36" t="str">
        <x:v>Semantic Scholar、引文图、作者、推荐、文献计量</x:v>
      </x:c>
      <x:c r="P19" s="36" t="str">
        <x:v>其他明确命名生态（OpenClaw）</x:v>
      </x:c>
      <x:c r="Q19" s="36" t="str">
        <x:v>社区 skill、开源仓库</x:v>
      </x:c>
      <x:c r="R19" s="39" t="str">
        <x:v>MIT</x:v>
      </x:c>
      <x:c r="S19" s="41" t="n">
        <x:v>872</x:v>
      </x:c>
      <x:c r="T19" s="42" t="n">
        <x:v>46181</x:v>
      </x:c>
      <x:c r="U19" s="36" t="str">
        <x:v>https://github.com/beita6969/ScienceClaw/blob/main/skills/semantic-scholar/SKILL.md</x:v>
      </x:c>
      <x:c r="V19" s="36" t="str">
        <x:v>https://github.com/beita6969/ScienceClaw</x:v>
      </x:c>
    </x:row>
    <x:row r="20" ht="92" customHeight="1">
      <x:c r="A20" s="37" t="n">
        <x:v>16</x:v>
      </x:c>
      <x:c r="B20" s="38" t="str">
        <x:v>03-08 主题性文献梳理与综述写作</x:v>
      </x:c>
      <x:c r="C20" s="38" t="str">
        <x:v>文献搜索与引用图综合</x:v>
      </x:c>
      <x:c r="D20" s="35" t="str">
        <x:v>搜索 PubMed 和 bioRxiv，生成摘要、引用图和综述段落。</x:v>
      </x:c>
      <x:c r="E20" s="35" t="str">
        <x:v>适合科研人员、研究生使用。</x:v>
      </x:c>
      <x:c r="F20" s="35" t="str">
        <x:v>适用于快速主题扫描、综述草稿和引用关系探索。</x:v>
      </x:c>
      <x:c r="G20" s="35" t="str">
        <x:v>需要准备：Python（常用于数据处理和自动化的编程语言）、学术 API（软件之间交换信息的接口）、LLM（能理解并生成文本的大型语言模型）。</x:v>
      </x:c>
      <x:c r="H20" s="35" t="str">
        <x:v>需要注意：端到端自动化容易把摘要错误传播到综述文本。</x:v>
      </x:c>
      <x:c r="I20" s="37" t="str">
        <x:v>中</x:v>
      </x:c>
      <x:c r="J20" s="37" t="str">
        <x:v>C｜较多调整</x:v>
      </x:c>
      <x:c r="K20" s="35" t="str">
        <x:v>需要较多改写或配套服务，建议先做小范围试用再决定是否建设。具体建议：需要确认项目资料库列出的脚本和模型依赖；可拆分成独立阶段。</x:v>
      </x:c>
      <x:c r="L20" s="35" t="str">
        <x:v>说明已核验：已核对用途与使用说明；本次未安装、未运行，不能据此判断实际效果。</x:v>
      </x:c>
      <x:c r="M20" s="39" t="str">
        <x:v>lit-synthesizer</x:v>
      </x:c>
      <x:c r="N20" s="39" t="str">
        <x:v>GH-03-0016</x:v>
      </x:c>
      <x:c r="O20" s="36" t="str">
        <x:v>PubMed、bioRxiv、摘要、引用图、综述段落</x:v>
      </x:c>
      <x:c r="P20" s="36" t="str">
        <x:v>其他明确命名生态（OpenClaw）</x:v>
      </x:c>
      <x:c r="Q20" s="36" t="str">
        <x:v>社区 skill、开源仓库</x:v>
      </x:c>
      <x:c r="R20" s="39" t="str">
        <x:v>MIT</x:v>
      </x:c>
      <x:c r="S20" s="41" t="n">
        <x:v>872</x:v>
      </x:c>
      <x:c r="T20" s="42" t="n">
        <x:v>46181</x:v>
      </x:c>
      <x:c r="U20" s="36" t="str">
        <x:v>https://github.com/beita6969/ScienceClaw/blob/main/skills/lit-synthesizer/SKILL.md</x:v>
      </x:c>
      <x:c r="V20" s="36" t="str">
        <x:v>https://github.com/beita6969/ScienceClaw</x:v>
      </x:c>
    </x:row>
    <x:row r="21" ht="92" customHeight="1">
      <x:c r="A21" s="37" t="n">
        <x:v>17</x:v>
      </x:c>
      <x:c r="B21" s="38" t="str">
        <x:v>03-10 Meta 分析与定量证据综合</x:v>
      </x:c>
      <x:c r="C21" s="38" t="str">
        <x:v>定量 Meta 分析</x:v>
      </x:c>
      <x:c r="D21" s="35" t="str">
        <x:v>合并多项研究并进行定量 Meta 分析（合并多项研究结果的统计方法）。</x:v>
      </x:c>
      <x:c r="E21" s="35" t="str">
        <x:v>适合科研人员、研究生使用。</x:v>
      </x:c>
      <x:c r="F21" s="35" t="str">
        <x:v>适用于系统综述定量综合、教学演示和分析计划。</x:v>
      </x:c>
      <x:c r="G21" s="35" t="str">
        <x:v>需要准备：统计计算库和结构化研究数据。</x:v>
      </x:c>
      <x:c r="H21" s="35" t="str">
        <x:v>需要注意：模型选择和研究可比性必须由研究者判断。</x:v>
      </x:c>
      <x:c r="I21" s="37" t="str">
        <x:v>高</x:v>
      </x:c>
      <x:c r="J21" s="37" t="str">
        <x:v>B｜少量调整</x:v>
      </x:c>
      <x:c r="K21" s="35" t="str">
        <x:v>经过少量调整后可以使用，常见调整包括更换工具、路径或账号设置。具体建议：将统计实现对应到 statsmodels/R 等可验证工具并保存数据表。</x:v>
      </x:c>
      <x:c r="L21" s="35" t="str">
        <x:v>说明已核验：已核对用途与使用说明；本次未安装、未运行，不能据此判断实际效果。</x:v>
      </x:c>
      <x:c r="M21" s="39" t="str">
        <x:v>meta-analysis</x:v>
      </x:c>
      <x:c r="N21" s="39" t="str">
        <x:v>GH-03-0017</x:v>
      </x:c>
      <x:c r="O21" s="36" t="str">
        <x:v>效应量、森林图、漏斗图、异质性、发表偏倚</x:v>
      </x:c>
      <x:c r="P21" s="36" t="str">
        <x:v>其他明确命名生态（OpenClaw）</x:v>
      </x:c>
      <x:c r="Q21" s="36" t="str">
        <x:v>社区 skill、开源仓库</x:v>
      </x:c>
      <x:c r="R21" s="39" t="str">
        <x:v>MIT</x:v>
      </x:c>
      <x:c r="S21" s="41" t="n">
        <x:v>872</x:v>
      </x:c>
      <x:c r="T21" s="42" t="n">
        <x:v>46181</x:v>
      </x:c>
      <x:c r="U21" s="36" t="str">
        <x:v>https://github.com/beita6969/ScienceClaw/blob/main/skills/meta-analysis/SKILL.md</x:v>
      </x:c>
      <x:c r="V21" s="36" t="str">
        <x:v>https://github.com/beita6969/ScienceClaw</x:v>
      </x:c>
    </x:row>
    <x:row r="22" ht="92" customHeight="1">
      <x:c r="A22" s="37" t="n">
        <x:v>18</x:v>
      </x:c>
      <x:c r="B22" s="38" t="str">
        <x:v>03-09 系统综述流程与文献筛选</x:v>
      </x:c>
      <x:c r="C22" s="38" t="str">
        <x:v>ASReview 文献筛选</x:v>
      </x:c>
      <x:c r="D22" s="35" t="str">
        <x:v>使用 ASReview 主动学习（让模型优先推荐最值得人工判断的条目）为系统综述优先排序题录。</x:v>
      </x:c>
      <x:c r="E22" s="35" t="str">
        <x:v>适合科研人员、研究生、图书馆人员使用。</x:v>
      </x:c>
      <x:c r="F22" s="35" t="str">
        <x:v>适用于系统综述标题摘要筛选、优先阅读排序。</x:v>
      </x:c>
      <x:c r="G22" s="35" t="str">
        <x:v>需要准备：ASReview、题录数据集。</x:v>
      </x:c>
      <x:c r="H22" s="35" t="str">
        <x:v>需要注意：主动学习可能漏掉少数类型研究，停止规则需预先定义。</x:v>
      </x:c>
      <x:c r="I22" s="37" t="str">
        <x:v>中</x:v>
      </x:c>
      <x:c r="J22" s="37" t="str">
        <x:v>C｜较多调整</x:v>
      </x:c>
      <x:c r="K22" s="35" t="str">
        <x:v>需要较多改写或配套服务，建议先做小范围试用再决定是否建设。具体建议：安装 ASReview 后使用；保留人工纳排标准和双人复核。</x:v>
      </x:c>
      <x:c r="L22" s="35" t="str">
        <x:v>说明已核验：已核对用途与使用说明；本次未安装、未运行，不能据此判断实际效果。</x:v>
      </x:c>
      <x:c r="M22" s="39" t="str">
        <x:v>asreview-screening</x:v>
      </x:c>
      <x:c r="N22" s="39" t="str">
        <x:v>GH-03-0018</x:v>
      </x:c>
      <x:c r="O22" s="36" t="str">
        <x:v>系统综述、主动学习、题录筛选、纳排</x:v>
      </x:c>
      <x:c r="P22" s="36" t="str">
        <x:v>其他明确命名生态（OpenClaw）</x:v>
      </x:c>
      <x:c r="Q22" s="36" t="str">
        <x:v>社区 skill、开源仓库</x:v>
      </x:c>
      <x:c r="R22" s="39" t="str">
        <x:v>MIT</x:v>
      </x:c>
      <x:c r="S22" s="41" t="n">
        <x:v>872</x:v>
      </x:c>
      <x:c r="T22" s="42" t="n">
        <x:v>46181</x:v>
      </x:c>
      <x:c r="U22" s="36" t="str">
        <x:v>https://github.com/beita6969/ScienceClaw/blob/main/skills/asreview-screening/SKILL.md</x:v>
      </x:c>
      <x:c r="V22" s="36" t="str">
        <x:v>https://github.com/beita6969/ScienceClaw</x:v>
      </x:c>
    </x:row>
    <x:row r="23" ht="92" customHeight="1">
      <x:c r="A23" s="37" t="n">
        <x:v>19</x:v>
      </x:c>
      <x:c r="B23" s="38" t="str">
        <x:v>03-07 深度调研与证据材料整理</x:v>
      </x:c>
      <x:c r="C23" s="38" t="str">
        <x:v>可复现深度学术调研</x:v>
      </x:c>
      <x:c r="D23" s="35" t="str">
        <x:v>以公开方法和多轮检索开展深度研究。</x:v>
      </x:c>
      <x:c r="E23" s="35" t="str">
        <x:v>适合科研人员、学生、行政研究人员使用。</x:v>
      </x:c>
      <x:c r="F23" s="35" t="str">
        <x:v>适用于背景调研、政策简报、复杂主题综述。</x:v>
      </x:c>
      <x:c r="G23" s="35" t="str">
        <x:v>需要能搜索和读取网页、并行处理多条检索线索的工具。</x:v>
      </x:c>
      <x:c r="H23" s="35" t="str">
        <x:v>需要注意：范围较宽，若问题界定不清会产生大量低价值材料。</x:v>
      </x:c>
      <x:c r="I23" s="37" t="str">
        <x:v>中</x:v>
      </x:c>
      <x:c r="J23" s="37" t="str">
        <x:v>C｜较多调整</x:v>
      </x:c>
      <x:c r="K23" s="35" t="str">
        <x:v>需要较多改写或配套服务，建议先做小范围试用再决定是否建设。具体建议：将 OpenClaw 内置工具替换为 Codex 搜索与读取工具。</x:v>
      </x:c>
      <x:c r="L23" s="35" t="str">
        <x:v>说明已核验：已核对用途与使用说明；本次未安装、未运行，不能据此判断实际效果。</x:v>
      </x:c>
      <x:c r="M23" s="39" t="str">
        <x:v>academic-deep-research</x:v>
      </x:c>
      <x:c r="N23" s="39" t="str">
        <x:v>GH-03-0019</x:v>
      </x:c>
      <x:c r="O23" s="36" t="str">
        <x:v>深度调研、双循环检索、证据层级、用户检查点</x:v>
      </x:c>
      <x:c r="P23" s="36" t="str">
        <x:v>其他明确命名生态（OpenClaw）</x:v>
      </x:c>
      <x:c r="Q23" s="36" t="str">
        <x:v>社区 skill、开源仓库、可移植工作流</x:v>
      </x:c>
      <x:c r="R23" s="39" t="str">
        <x:v>MIT</x:v>
      </x:c>
      <x:c r="S23" s="41" t="n">
        <x:v>872</x:v>
      </x:c>
      <x:c r="T23" s="42" t="n">
        <x:v>46181</x:v>
      </x:c>
      <x:c r="U23" s="36" t="str">
        <x:v>https://github.com/beita6969/ScienceClaw/blob/main/skills/academic-deep-research/SKILL.md</x:v>
      </x:c>
      <x:c r="V23" s="36" t="str">
        <x:v>https://github.com/beita6969/ScienceClaw</x:v>
      </x:c>
    </x:row>
    <x:row r="24" ht="92" customHeight="1">
      <x:c r="A24" s="37" t="n">
        <x:v>20</x:v>
      </x:c>
      <x:c r="B24" s="38" t="str">
        <x:v>03-05 论文阅读、提炼与批判性分析</x:v>
      </x:c>
      <x:c r="C24" s="38" t="str">
        <x:v>科学论文阅读与批判分析</x:v>
      </x:c>
      <x:c r="D24" s="35" t="str">
        <x:v>读取、摘要并批判性分析科学论文。</x:v>
      </x:c>
      <x:c r="E24" s="35" t="str">
        <x:v>适合学生、教学人员、科研人员使用。</x:v>
      </x:c>
      <x:c r="F24" s="35" t="str">
        <x:v>适用于课程阅读、组会准备、方法比较和数据提取。</x:v>
      </x:c>
      <x:c r="G24" s="35" t="str">
        <x:v>需要准备：PDF（常用的固定版式文档格式）/URL（网页地址）/DOI（论文等数字资源的永久标识）获取工具。</x:v>
      </x:c>
      <x:c r="H24" s="35" t="str">
        <x:v>需要注意：仅凭摘要不能完成方法和局限分析。</x:v>
      </x:c>
      <x:c r="I24" s="37" t="str">
        <x:v>高</x:v>
      </x:c>
      <x:c r="J24" s="37" t="str">
        <x:v>B｜少量调整</x:v>
      </x:c>
      <x:c r="K24" s="35" t="str">
        <x:v>经过少量调整后可以使用，常见调整包括更换工具、路径或账号设置。具体建议：替换论文获取工具；保留快速与深度两级输出。</x:v>
      </x:c>
      <x:c r="L24" s="35" t="str">
        <x:v>说明已核验：已核对用途与使用说明；本次未安装、未运行，不能据此判断实际效果。</x:v>
      </x:c>
      <x:c r="M24" s="39" t="str">
        <x:v>paper-analysis</x:v>
      </x:c>
      <x:c r="N24" s="39" t="str">
        <x:v>GH-03-0020</x:v>
      </x:c>
      <x:c r="O24" s="36" t="str">
        <x:v>论文阅读、摘要、方法、局限、贡献</x:v>
      </x:c>
      <x:c r="P24" s="36" t="str">
        <x:v>其他明确命名生态（OpenClaw）</x:v>
      </x:c>
      <x:c r="Q24" s="36" t="str">
        <x:v>社区 skill、开源仓库</x:v>
      </x:c>
      <x:c r="R24" s="39" t="str">
        <x:v>MIT</x:v>
      </x:c>
      <x:c r="S24" s="41" t="n">
        <x:v>872</x:v>
      </x:c>
      <x:c r="T24" s="42" t="n">
        <x:v>46181</x:v>
      </x:c>
      <x:c r="U24" s="36" t="str">
        <x:v>https://github.com/beita6969/ScienceClaw/blob/main/skills/paper-analysis/SKILL.md</x:v>
      </x:c>
      <x:c r="V24" s="36" t="str">
        <x:v>https://github.com/beita6969/ScienceClaw</x:v>
      </x:c>
    </x:row>
    <x:row r="25" ht="92" customHeight="1">
      <x:c r="A25" s="37" t="n">
        <x:v>21</x:v>
      </x:c>
      <x:c r="B25" s="38" t="str">
        <x:v>03-09 系统综述流程与文献筛选</x:v>
      </x:c>
      <x:c r="C25" s="38" t="str">
        <x:v>PRISMA 系统综述编排</x:v>
      </x:c>
      <x:c r="D25" s="35" t="str">
        <x:v>按 PRISMA（规范系统综述过程和报告的标准） 2020 流程安排系统综述与 Meta 分析（合并多项研究结果的统计方法）流程。</x:v>
      </x:c>
      <x:c r="E25" s="35" t="str">
        <x:v>适合科研人员、研究生、图书馆人员使用。</x:v>
      </x:c>
      <x:c r="F25" s="35" t="str">
        <x:v>适用于系统综述、范围综述、证据综合项目管理。</x:v>
      </x:c>
      <x:c r="G25" s="35" t="str">
        <x:v>需要准备：多个检索、筛选、提取和统计配套 AI 技能。</x:v>
      </x:c>
      <x:c r="H25" s="35" t="str">
        <x:v>需要注意：PRISMA 报告合规不等于方法质量；协议应预先确定。</x:v>
      </x:c>
      <x:c r="I25" s="37" t="str">
        <x:v>高</x:v>
      </x:c>
      <x:c r="J25" s="37" t="str">
        <x:v>B｜少量调整</x:v>
      </x:c>
      <x:c r="K25" s="35" t="str">
        <x:v>经过少量调整后可以使用，常见调整包括更换工具、路径或账号设置。具体建议：将配套 AI 技能和工具使用安排对应到本知识库候选。</x:v>
      </x:c>
      <x:c r="L25" s="35" t="str">
        <x:v>说明已核验：已核对用途与使用说明；本次未安装、未运行，不能据此判断实际效果。</x:v>
      </x:c>
      <x:c r="M25" s="39" t="str">
        <x:v>systematic-review</x:v>
      </x:c>
      <x:c r="N25" s="39" t="str">
        <x:v>GH-03-0021</x:v>
      </x:c>
      <x:c r="O25" s="36" t="str">
        <x:v>PRISMA、协议、检索、筛选、提取、证据综合</x:v>
      </x:c>
      <x:c r="P25" s="36" t="str">
        <x:v>其他明确命名生态（OpenClaw）</x:v>
      </x:c>
      <x:c r="Q25" s="36" t="str">
        <x:v>社区 skill、开源仓库</x:v>
      </x:c>
      <x:c r="R25" s="39" t="str">
        <x:v>MIT</x:v>
      </x:c>
      <x:c r="S25" s="41" t="n">
        <x:v>872</x:v>
      </x:c>
      <x:c r="T25" s="42" t="n">
        <x:v>46181</x:v>
      </x:c>
      <x:c r="U25" s="36" t="str">
        <x:v>https://github.com/beita6969/ScienceClaw/blob/main/skills/systematic-review/SKILL.md</x:v>
      </x:c>
      <x:c r="V25" s="36" t="str">
        <x:v>https://github.com/beita6969/ScienceClaw</x:v>
      </x:c>
    </x:row>
    <x:row r="26" ht="92" customHeight="1">
      <x:c r="A26" s="37" t="n">
        <x:v>22</x:v>
      </x:c>
      <x:c r="B26" s="38" t="str">
        <x:v>03-01 多数据库综合查找</x:v>
      </x:c>
      <x:c r="C26" s="38" t="str">
        <x:v>多平台学术检索框架</x:v>
      </x:c>
      <x:c r="D26" s="35" t="str">
        <x:v>根据检索目标选择不同学术平台，并按步骤逐步扩大或缩小搜索范围。</x:v>
      </x:c>
      <x:c r="E26" s="35" t="str">
        <x:v>适合学生、科研人员、图书馆人员使用。</x:v>
      </x:c>
      <x:c r="F26" s="35" t="str">
        <x:v>适用于跨学科文献查找、检索策略教学和复杂查询规划。</x:v>
      </x:c>
      <x:c r="G26" s="35" t="str">
        <x:v>需要准备：网络检索；项目资料库中包含可选脚本和参考资源。</x:v>
      </x:c>
      <x:c r="H26" s="35" t="str">
        <x:v>需要注意：不同平台访问权限不同，搜索结果需保留来源。</x:v>
      </x:c>
      <x:c r="I26" s="37" t="str">
        <x:v>高</x:v>
      </x:c>
      <x:c r="J26" s="37" t="str">
        <x:v>A｜调整少</x:v>
      </x:c>
      <x:c r="K26" s="35" t="str">
        <x:v>基本可以直接放入现有 AI 工作台使用，但仍需按本校制度和工具设置进行检查。具体建议：可直接使用；按学校订购数据库补充入口。</x:v>
      </x:c>
      <x:c r="L26" s="35" t="str">
        <x:v>包内容已核验：已核对用途说明和包内文件；本次未安装、未运行，不能据此判断实际效果。</x:v>
      </x:c>
      <x:c r="M26" s="39" t="str">
        <x:v>academic-search</x:v>
      </x:c>
      <x:c r="N26" s="39" t="str">
        <x:v>GH-03-0022</x:v>
      </x:c>
      <x:c r="O26" s="36" t="str">
        <x:v>学术检索、平台选择、检索策略、中文指南</x:v>
      </x:c>
      <x:c r="P26" s="36" t="str">
        <x:v>OpenAI Codex、Anthropic Claude Code</x:v>
      </x:c>
      <x:c r="Q26" s="36" t="str">
        <x:v>社区 skill、开源仓库</x:v>
      </x:c>
      <x:c r="R26" s="39" t="str">
        <x:v>MIT</x:v>
      </x:c>
      <x:c r="S26" s="41" t="n">
        <x:v>532</x:v>
      </x:c>
      <x:c r="T26" s="42" t="n">
        <x:v>46208</x:v>
      </x:c>
      <x:c r="U26" s="36" t="str">
        <x:v>https://github.com/ustc-ai4science/academic-search/blob/main/SKILL.md</x:v>
      </x:c>
      <x:c r="V26" s="36" t="str">
        <x:v>https://github.com/ustc-ai4science/academic-search</x:v>
      </x:c>
    </x:row>
    <x:row r="27" ht="92" customHeight="1">
      <x:c r="A27" s="37" t="n">
        <x:v>23</x:v>
      </x:c>
      <x:c r="B27" s="38" t="str">
        <x:v>03-04 个人或团队文献库与研究笔记</x:v>
      </x:c>
      <x:c r="C27" s="38" t="str">
        <x:v>本地文献与文档数据库</x:v>
      </x:c>
      <x:c r="D27" s="35" t="str">
        <x:v>使用 litdb 建立并查询本地科研文献与文档数据库。</x:v>
      </x:c>
      <x:c r="E27" s="35" t="str">
        <x:v>适合科研人员、研究生、图书馆人员使用。</x:v>
      </x:c>
      <x:c r="F27" s="35" t="str">
        <x:v>适用于个人或课题组文献库、本地全文检索和研究记录。</x:v>
      </x:c>
      <x:c r="G27" s="35" t="str">
        <x:v>需要准备：litdb 软件、数据库和 MCP（让 AI 连接外部工具的通用方式）服务。</x:v>
      </x:c>
      <x:c r="H27" s="35" t="str">
        <x:v>需要注意：需要维护本地索引（帮助快速查找资料或数据的检索结构）与附件；导入版权受限全文时需遵守许可。</x:v>
      </x:c>
      <x:c r="I27" s="37" t="str">
        <x:v>中</x:v>
      </x:c>
      <x:c r="J27" s="37" t="str">
        <x:v>C｜较多调整</x:v>
      </x:c>
      <x:c r="K27" s="35" t="str">
        <x:v>需要较多改写或配套服务，建议先做小范围试用再决定是否建设。具体建议：部署 litdb 与 MCP 后接入；也可借鉴其数据组织方式。</x:v>
      </x:c>
      <x:c r="L27" s="35" t="str">
        <x:v>包内容已核验：已核对用途说明和包内文件；本次未安装、未运行，不能据此判断实际效果。</x:v>
      </x:c>
      <x:c r="M27" s="39" t="str">
        <x:v>litdb</x:v>
      </x:c>
      <x:c r="N27" s="39" t="str">
        <x:v>GH-03-0023</x:v>
      </x:c>
      <x:c r="O27" s="36" t="str">
        <x:v>文献数据库、文档索引、MCP、全文检索、研究资料</x:v>
      </x:c>
      <x:c r="P27" s="36" t="str">
        <x:v>生态中立 / MCP</x:v>
      </x:c>
      <x:c r="Q27" s="36" t="str">
        <x:v>社区 skill、开源仓库</x:v>
      </x:c>
      <x:c r="R27" s="39" t="str">
        <x:v>MIT</x:v>
      </x:c>
      <x:c r="S27" s="41" t="n">
        <x:v>83</x:v>
      </x:c>
      <x:c r="T27" s="42" t="n">
        <x:v>46119</x:v>
      </x:c>
      <x:c r="U27" s="36" t="str">
        <x:v>https://github.com/jkitchin/litdb/blob/main/SKILL.md</x:v>
      </x:c>
      <x:c r="V27" s="36" t="str">
        <x:v>https://github.com/jkitchin/litdb</x:v>
      </x:c>
    </x:row>
    <x:row r="28" ht="92" customHeight="1">
      <x:c r="A28" s="37" t="n">
        <x:v>24</x:v>
      </x:c>
      <x:c r="B28" s="38" t="str">
        <x:v>03-01 多数据库综合查找</x:v>
      </x:c>
      <x:c r="C28" s="38" t="str">
        <x:v>免密钥多源论文检索</x:v>
      </x:c>
      <x:c r="D28" s="35" t="str">
        <x:v>无需 API（软件之间交换信息的接口）密钥跨四个来源搜索论文、作者、会场和引文。</x:v>
      </x:c>
      <x:c r="E28" s="35" t="str">
        <x:v>适合学生、科研人员、图书馆人员使用。</x:v>
      </x:c>
      <x:c r="F28" s="35" t="str">
        <x:v>适用于CS（计算机科学）与跨学科检索、会议论文集、种子论文扩展。</x:v>
      </x:c>
      <x:c r="G28" s="35" t="str">
        <x:v>需要准备：Python（常用于数据处理和自动化的编程语言）标准库脚本；公开学术 API。</x:v>
      </x:c>
      <x:c r="H28" s="35" t="str">
        <x:v>需要注意：公共 API 可能限流，引用数跨平台不可直接比较。</x:v>
      </x:c>
      <x:c r="I28" s="37" t="str">
        <x:v>高</x:v>
      </x:c>
      <x:c r="J28" s="37" t="str">
        <x:v>B｜少量调整</x:v>
      </x:c>
      <x:c r="K28" s="35" t="str">
        <x:v>经过少量调整后可以使用，常见调整包括更换工具、路径或账号设置。具体建议：引入项目资料库中的小程序并按 Codex 路径调整。</x:v>
      </x:c>
      <x:c r="L28" s="35" t="str">
        <x:v>包内容已核验：已核对用途说明和包内文件；本次未安装、未运行，不能据此判断实际效果。</x:v>
      </x:c>
      <x:c r="M28" s="39" t="str">
        <x:v>find-papers</x:v>
      </x:c>
      <x:c r="N28" s="39" t="str">
        <x:v>GH-03-0024</x:v>
      </x:c>
      <x:c r="O28" s="36" t="str">
        <x:v>DBLP、Crossref、Semantic Scholar、arXiv、会场别名</x:v>
      </x:c>
      <x:c r="P28" s="36" t="str">
        <x:v>Agent Skills</x:v>
      </x:c>
      <x:c r="Q28" s="36" t="str">
        <x:v>社区 skill、开源仓库</x:v>
      </x:c>
      <x:c r="R28" s="39" t="str">
        <x:v>Apache-2.0</x:v>
      </x:c>
      <x:c r="S28" s="41" t="n">
        <x:v>21</x:v>
      </x:c>
      <x:c r="T28" s="42" t="n">
        <x:v>46200</x:v>
      </x:c>
      <x:c r="U28" s="36" t="str">
        <x:v>https://github.com/ShaishavMaisuria/research-paper-lifecycle-skills/blob/main/skills/find-papers/SKILL.md</x:v>
      </x:c>
      <x:c r="V28" s="36" t="str">
        <x:v>https://github.com/ShaishavMaisuria/research-paper-lifecycle-skills</x:v>
      </x:c>
    </x:row>
    <x:row r="29" ht="92" customHeight="1">
      <x:c r="A29" s="37" t="n">
        <x:v>25</x:v>
      </x:c>
      <x:c r="B29" s="38" t="str">
        <x:v>03-03 论文全文与开放资源获取</x:v>
      </x:c>
      <x:c r="C29" s="38" t="str">
        <x:v>合法开放全文获取</x:v>
      </x:c>
      <x:c r="D29" s="35" t="str">
        <x:v>为已识别论文寻找并获取合法开放全文。</x:v>
      </x:c>
      <x:c r="E29" s="35" t="str">
        <x:v>适合学生、科研人员、图书馆人员使用。</x:v>
      </x:c>
      <x:c r="F29" s="35" t="str">
        <x:v>适用于获取可读全文、综述语料准备、论文阅读。</x:v>
      </x:c>
      <x:c r="G29" s="35" t="str">
        <x:v>需要准备：公开全文服务；可选 PDF（常用的固定版式文档格式）工具。</x:v>
      </x:c>
      <x:c r="H29" s="35" t="str">
        <x:v>需要注意：不能绕过付费墙或许可；下载版本需与引用版本对应。</x:v>
      </x:c>
      <x:c r="I29" s="37" t="str">
        <x:v>高</x:v>
      </x:c>
      <x:c r="J29" s="37" t="str">
        <x:v>B｜少量调整</x:v>
      </x:c>
      <x:c r="K29" s="35" t="str">
        <x:v>经过少量调整后可以使用，常见调整包括更换工具、路径或账号设置。具体建议：对应到 Unpaywall、PMC（开放获取的生物医学论文全文库）、arXiv 等允许来源。</x:v>
      </x:c>
      <x:c r="L29" s="35" t="str">
        <x:v>说明已核验：已核对用途与使用说明；本次未安装、未运行，不能据此判断实际效果。</x:v>
      </x:c>
      <x:c r="M29" s="39" t="str">
        <x:v>fetch-paper</x:v>
      </x:c>
      <x:c r="N29" s="39" t="str">
        <x:v>GH-03-0025</x:v>
      </x:c>
      <x:c r="O29" s="36" t="str">
        <x:v>开放获取、全文、PDF、合法来源</x:v>
      </x:c>
      <x:c r="P29" s="36" t="str">
        <x:v>Agent Skills</x:v>
      </x:c>
      <x:c r="Q29" s="36" t="str">
        <x:v>社区 skill、开源仓库</x:v>
      </x:c>
      <x:c r="R29" s="39" t="str">
        <x:v>Apache-2.0</x:v>
      </x:c>
      <x:c r="S29" s="41" t="n">
        <x:v>21</x:v>
      </x:c>
      <x:c r="T29" s="42" t="n">
        <x:v>46200</x:v>
      </x:c>
      <x:c r="U29" s="36" t="str">
        <x:v>https://github.com/ShaishavMaisuria/research-paper-lifecycle-skills/blob/main/skills/fetch-paper/SKILL.md</x:v>
      </x:c>
      <x:c r="V29" s="36" t="str">
        <x:v>https://github.com/ShaishavMaisuria/research-paper-lifecycle-skills</x:v>
      </x:c>
    </x:row>
    <x:row r="30" ht="92" customHeight="1">
      <x:c r="A30" s="37" t="n">
        <x:v>26</x:v>
      </x:c>
      <x:c r="B30" s="38" t="str">
        <x:v>03-08 主题性文献梳理与综述写作</x:v>
      </x:c>
      <x:c r="C30" s="38" t="str">
        <x:v>可核验引文的主题综述</x:v>
      </x:c>
      <x:c r="D30" s="35" t="str">
        <x:v>构建每个主张都绑定已核验来源的结构化文献综述。</x:v>
      </x:c>
      <x:c r="E30" s="35" t="str">
        <x:v>适合科研人员、研究生使用。</x:v>
      </x:c>
      <x:c r="F30" s="35" t="str">
        <x:v>适用于论文综述章节、主题研究、相关工作全景。</x:v>
      </x:c>
      <x:c r="G30" s="35" t="str">
        <x:v>需要准备：多个兄弟 AI 技能与本地检查脚本。</x:v>
      </x:c>
      <x:c r="H30" s="35" t="str">
        <x:v>需要注意：综述范围和纳排标准仍需研究者预先确定。</x:v>
      </x:c>
      <x:c r="I30" s="37" t="str">
        <x:v>高</x:v>
      </x:c>
      <x:c r="J30" s="37" t="str">
        <x:v>B｜少量调整</x:v>
      </x:c>
      <x:c r="K30" s="35" t="str">
        <x:v>经过少量调整后可以使用，常见调整包括更换工具、路径或账号设置。具体建议：需要同一项目资料库中的检索与引用验证技能协同。</x:v>
      </x:c>
      <x:c r="L30" s="35" t="str">
        <x:v>说明已核验：已核对用途与使用说明；本次未安装、未运行，不能据此判断实际效果。</x:v>
      </x:c>
      <x:c r="M30" s="39" t="str">
        <x:v>literature-review</x:v>
      </x:c>
      <x:c r="N30" s="39" t="str">
        <x:v>GH-03-0026</x:v>
      </x:c>
      <x:c r="O30" s="36" t="str">
        <x:v>主题综述、筛选语料、主张锚点、引用门</x:v>
      </x:c>
      <x:c r="P30" s="36" t="str">
        <x:v>Agent Skills</x:v>
      </x:c>
      <x:c r="Q30" s="36" t="str">
        <x:v>社区 skill、开源仓库</x:v>
      </x:c>
      <x:c r="R30" s="39" t="str">
        <x:v>Apache-2.0</x:v>
      </x:c>
      <x:c r="S30" s="41" t="n">
        <x:v>21</x:v>
      </x:c>
      <x:c r="T30" s="42" t="n">
        <x:v>46200</x:v>
      </x:c>
      <x:c r="U30" s="36" t="str">
        <x:v>https://github.com/ShaishavMaisuria/research-paper-lifecycle-skills/blob/main/skills/literature-review/SKILL.md</x:v>
      </x:c>
      <x:c r="V30" s="36" t="str">
        <x:v>https://github.com/ShaishavMaisuria/research-paper-lifecycle-skills</x:v>
      </x:c>
    </x:row>
    <x:row r="31" ht="92" customHeight="1">
      <x:c r="A31" s="37" t="n">
        <x:v>27</x:v>
      </x:c>
      <x:c r="B31" s="38" t="str">
        <x:v>03-08 主题性文献梳理与综述写作</x:v>
      </x:c>
      <x:c r="C31" s="38" t="str">
        <x:v>阅读清单与综述论文草稿</x:v>
      </x:c>
      <x:c r="D31" s="35" t="str">
        <x:v>把主题转为排序阅读清单和双栏综述草稿。</x:v>
      </x:c>
      <x:c r="E31" s="35" t="str">
        <x:v>适合科研人员、研究生使用。</x:v>
      </x:c>
      <x:c r="F31" s="35" t="str">
        <x:v>适用于快速进入新领域、课程阅读清单、综述论文初稿。</x:v>
      </x:c>
      <x:c r="G31" s="35" t="str">
        <x:v>需要准备：find-papers、verify-citations、LaTeX（常用于学术论文排版的工具）。</x:v>
      </x:c>
      <x:c r="H31" s="35" t="str">
        <x:v>需要注意：引用量排序可能偏向老论文，不能替代内容相关性判断。</x:v>
      </x:c>
      <x:c r="I31" s="37" t="str">
        <x:v>高</x:v>
      </x:c>
      <x:c r="J31" s="37" t="str">
        <x:v>B｜少量调整</x:v>
      </x:c>
      <x:c r="K31" s="35" t="str">
        <x:v>经过少量调整后可以使用，常见调整包括更换工具、路径或账号设置。具体建议：复用搜索与引文核验兄弟 AI 技能；排名指标按学科调整。</x:v>
      </x:c>
      <x:c r="L31" s="35" t="str">
        <x:v>说明已核验：已核对用途与使用说明；本次未安装、未运行，不能据此判断实际效果。</x:v>
      </x:c>
      <x:c r="M31" s="39" t="str">
        <x:v>draft-survey</x:v>
      </x:c>
      <x:c r="N31" s="39" t="str">
        <x:v>GH-03-0027</x:v>
      </x:c>
      <x:c r="O31" s="36" t="str">
        <x:v>阅读清单、论文排序、主题分类、综述草稿</x:v>
      </x:c>
      <x:c r="P31" s="36" t="str">
        <x:v>Agent Skills</x:v>
      </x:c>
      <x:c r="Q31" s="36" t="str">
        <x:v>社区 skill、开源仓库</x:v>
      </x:c>
      <x:c r="R31" s="39" t="str">
        <x:v>Apache-2.0</x:v>
      </x:c>
      <x:c r="S31" s="41" t="n">
        <x:v>21</x:v>
      </x:c>
      <x:c r="T31" s="42" t="n">
        <x:v>46200</x:v>
      </x:c>
      <x:c r="U31" s="36" t="str">
        <x:v>https://github.com/ShaishavMaisuria/research-paper-lifecycle-skills/blob/main/skills/draft-survey/SKILL.md</x:v>
      </x:c>
      <x:c r="V31" s="36" t="str">
        <x:v>https://github.com/ShaishavMaisuria/research-paper-lifecycle-skills</x:v>
      </x:c>
    </x:row>
    <x:row r="32" ht="92" customHeight="1">
      <x:c r="A32" s="37" t="n">
        <x:v>28</x:v>
      </x:c>
      <x:c r="B32" s="38" t="str">
        <x:v>03-05 论文阅读、提炼与批判性分析</x:v>
      </x:c>
      <x:c r="C32" s="38" t="str">
        <x:v>论文关键主张核验</x:v>
      </x:c>
      <x:c r="D32" s="35" t="str">
        <x:v>把论文中的关键主张与结果、表格、图形和引文逐项核对。</x:v>
      </x:c>
      <x:c r="E32" s="35" t="str">
        <x:v>适合科研人员、研究生、教学人员使用。</x:v>
      </x:c>
      <x:c r="F32" s="35" t="str">
        <x:v>适用于投稿前主张审计、结果一致性和过度推断检查。</x:v>
      </x:c>
      <x:c r="G32" s="35" t="str">
        <x:v>需要准备：稿件、结果表、图形和引用证据。</x:v>
      </x:c>
      <x:c r="H32" s="35" t="str">
        <x:v>需要注意：核验质量取决于能否访问完整实验记录。</x:v>
      </x:c>
      <x:c r="I32" s="37" t="str">
        <x:v>高</x:v>
      </x:c>
      <x:c r="J32" s="37" t="str">
        <x:v>B｜少量调整</x:v>
      </x:c>
      <x:c r="K32" s="35" t="str">
        <x:v>经过少量调整后可以使用，常见调整包括更换工具、路径或账号设置。具体建议：接入本地稿件和证据清单即可；避免上传敏感材料。</x:v>
      </x:c>
      <x:c r="L32" s="35" t="str">
        <x:v>说明已核验：已核对用途与使用说明；本次未安装、未运行，不能据此判断实际效果。</x:v>
      </x:c>
      <x:c r="M32" s="39" t="str">
        <x:v>verify-claims</x:v>
      </x:c>
      <x:c r="N32" s="39" t="str">
        <x:v>GH-03-0028</x:v>
      </x:c>
      <x:c r="O32" s="36" t="str">
        <x:v>主张审计、结果、表格、图形、过度推断</x:v>
      </x:c>
      <x:c r="P32" s="36" t="str">
        <x:v>Agent Skills</x:v>
      </x:c>
      <x:c r="Q32" s="36" t="str">
        <x:v>社区 skill、开源仓库</x:v>
      </x:c>
      <x:c r="R32" s="39" t="str">
        <x:v>Apache-2.0</x:v>
      </x:c>
      <x:c r="S32" s="41" t="n">
        <x:v>21</x:v>
      </x:c>
      <x:c r="T32" s="42" t="n">
        <x:v>46200</x:v>
      </x:c>
      <x:c r="U32" s="36" t="str">
        <x:v>https://github.com/ShaishavMaisuria/research-paper-lifecycle-skills/blob/main/skills/verify-claims/SKILL.md</x:v>
      </x:c>
      <x:c r="V32" s="36" t="str">
        <x:v>https://github.com/ShaishavMaisuria/research-paper-lifecycle-skills</x:v>
      </x:c>
    </x:row>
    <x:row r="33" ht="92" customHeight="1">
      <x:c r="A33" s="37" t="n">
        <x:v>29</x:v>
      </x:c>
      <x:c r="B33" s="38" t="str">
        <x:v>03-01 多数据库综合查找</x:v>
      </x:c>
      <x:c r="C33" s="38" t="str">
        <x:v>文献检索标准操作规程</x:v>
      </x:c>
      <x:c r="D33" s="35" t="str">
        <x:v>以标准操作规程组织分层文献搜索。</x:v>
      </x:c>
      <x:c r="E33" s="35" t="str">
        <x:v>适合科研人员、学生、图书馆人员使用。</x:v>
      </x:c>
      <x:c r="F33" s="35" t="str">
        <x:v>适用于课题组统一检索规范、综述检索培训。</x:v>
      </x:c>
      <x:c r="G33" s="35" t="str">
        <x:v>需要准备：本地参考管理器、数据库和网络搜索。</x:v>
      </x:c>
      <x:c r="H33" s="35" t="str">
        <x:v>需要注意：项目资料库许可证未明确；工具路线较多需按任务裁剪。</x:v>
      </x:c>
      <x:c r="I33" s="37" t="str">
        <x:v>中</x:v>
      </x:c>
      <x:c r="J33" s="37" t="str">
        <x:v>C｜较多调整</x:v>
      </x:c>
      <x:c r="K33" s="35" t="str">
        <x:v>需要较多改写或配套服务，建议先做小范围试用再决定是否建设。具体建议：把 Research-Claw 工具名替换为现有搜索和文献管理工具。</x:v>
      </x:c>
      <x:c r="L33" s="35" t="str">
        <x:v>说明已核验：已核对用途与使用说明；本次未安装、未运行，不能据此判断实际效果。</x:v>
      </x:c>
      <x:c r="M33" s="39" t="str">
        <x:v>Search SOP</x:v>
      </x:c>
      <x:c r="N33" s="39" t="str">
        <x:v>GH-03-0029</x:v>
      </x:c>
      <x:c r="O33" s="36" t="str">
        <x:v>三层检索、参考管理器、数据库、网络搜索</x:v>
      </x:c>
      <x:c r="P33" s="36" t="str">
        <x:v>其他明确命名生态（Research-Claw）</x:v>
      </x:c>
      <x:c r="Q33" s="36" t="str">
        <x:v>社区 skill、开源仓库、可移植工作流</x:v>
      </x:c>
      <x:c r="R33" s="39" t="str">
        <x:v>未明确</x:v>
      </x:c>
      <x:c r="S33" s="41" t="n">
        <x:v>849</x:v>
      </x:c>
      <x:c r="T33" s="42" t="n">
        <x:v>46235</x:v>
      </x:c>
      <x:c r="U33" s="36" t="str">
        <x:v>https://github.com/wentorai/Research-Claw/blob/main/skills/search-sop/SKILL.md</x:v>
      </x:c>
      <x:c r="V33" s="36" t="str">
        <x:v>https://github.com/wentorai/Research-Claw</x:v>
      </x:c>
    </x:row>
    <x:row r="34" ht="92" customHeight="1">
      <x:c r="A34" s="37" t="n">
        <x:v>30</x:v>
      </x:c>
      <x:c r="B34" s="38" t="str">
        <x:v>03-08 主题性文献梳理与综述写作</x:v>
      </x:c>
      <x:c r="C34" s="38" t="str">
        <x:v>综述深读与综合规程</x:v>
      </x:c>
      <x:c r="D34" s="35" t="str">
        <x:v>规范主题综述中的范围、深读、证据提取和综合步骤。</x:v>
      </x:c>
      <x:c r="E34" s="35" t="str">
        <x:v>适合科研人员、研究生使用。</x:v>
      </x:c>
      <x:c r="F34" s="35" t="str">
        <x:v>适用于综述写作、读书会、研究领域进入。</x:v>
      </x:c>
      <x:c r="G34" s="35" t="str">
        <x:v>需要准备：Research-Claw 处理流程。</x:v>
      </x:c>
      <x:c r="H34" s="35" t="str">
        <x:v>需要注意：项目资料库许可证未明确；需要与具体检索和引用工具配套。</x:v>
      </x:c>
      <x:c r="I34" s="37" t="str">
        <x:v>中</x:v>
      </x:c>
      <x:c r="J34" s="37" t="str">
        <x:v>C｜较多调整</x:v>
      </x:c>
      <x:c r="K34" s="35" t="str">
        <x:v>需要较多改写或配套服务，建议先做小范围试用再决定是否建设。具体建议：保留方法框架（组织工作步骤和配套工具的一套结构），替换 Research-Claw 安排与存储路径。</x:v>
      </x:c>
      <x:c r="L34" s="35" t="str">
        <x:v>说明已核验：已核对用途与使用说明；本次未安装、未运行，不能据此判断实际效果。</x:v>
      </x:c>
      <x:c r="M34" s="39" t="str">
        <x:v>Survey SOP</x:v>
      </x:c>
      <x:c r="N34" s="39" t="str">
        <x:v>GH-03-0030</x:v>
      </x:c>
      <x:c r="O34" s="36" t="str">
        <x:v>综述、深度阅读、阅读分级、综合</x:v>
      </x:c>
      <x:c r="P34" s="36" t="str">
        <x:v>其他明确命名生态（Research-Claw）</x:v>
      </x:c>
      <x:c r="Q34" s="36" t="str">
        <x:v>社区 skill、开源仓库、可移植工作流</x:v>
      </x:c>
      <x:c r="R34" s="39" t="str">
        <x:v>未明确</x:v>
      </x:c>
      <x:c r="S34" s="41" t="n">
        <x:v>849</x:v>
      </x:c>
      <x:c r="T34" s="42" t="n">
        <x:v>46235</x:v>
      </x:c>
      <x:c r="U34" s="36" t="str">
        <x:v>https://github.com/wentorai/Research-Claw/blob/main/skills/survey-sop/SKILL.md</x:v>
      </x:c>
      <x:c r="V34" s="36" t="str">
        <x:v>https://github.com/wentorai/Research-Claw</x:v>
      </x:c>
    </x:row>
    <x:row r="35" ht="92" customHeight="1">
      <x:c r="A35" s="37" t="n">
        <x:v>31</x:v>
      </x:c>
      <x:c r="B35" s="38" t="str">
        <x:v>03-09 系统综述流程与文献筛选</x:v>
      </x:c>
      <x:c r="C35" s="38" t="str">
        <x:v>PRISMA 2020 系统综述向导</x:v>
      </x:c>
      <x:c r="D35" s="35" t="str">
        <x:v>按 PRISMA（规范系统综述过程和报告的标准） 2020 引导用户完成系统文献综述。</x:v>
      </x:c>
      <x:c r="E35" s="35" t="str">
        <x:v>适合科研人员、研究生、教学人员使用。</x:v>
      </x:c>
      <x:c r="F35" s="35" t="str">
        <x:v>适用于系统综述课程、毕业论文、PRISMA 报告审计。</x:v>
      </x:c>
      <x:c r="G35" s="35" t="str">
        <x:v>需要准备：Word/图表生成工具；用户提供筛选数据。</x:v>
      </x:c>
      <x:c r="H35" s="35" t="str">
        <x:v>需要注意：项目资料库许可证未明确；PRISMA 合规不等于检索全面。</x:v>
      </x:c>
      <x:c r="I35" s="37" t="str">
        <x:v>高</x:v>
      </x:c>
      <x:c r="J35" s="37" t="str">
        <x:v>B｜少量调整</x:v>
      </x:c>
      <x:c r="K35" s="35" t="str">
        <x:v>经过少量调整后可以使用，常见调整包括更换工具、路径或账号设置。具体建议：替换 Claude 专用工具路径，并与本地 docx 生成技能协同。</x:v>
      </x:c>
      <x:c r="L35" s="35" t="str">
        <x:v>说明已核验：已核对用途与使用说明；本次未安装、未运行，不能据此判断实际效果。</x:v>
      </x:c>
      <x:c r="M35" s="39" t="str">
        <x:v>slr-prisma</x:v>
      </x:c>
      <x:c r="N35" s="39" t="str">
        <x:v>GH-03-0031</x:v>
      </x:c>
      <x:c r="O35" s="36" t="str">
        <x:v>PRISMA 2020、系统综述、纳排、流程图、APA</x:v>
      </x:c>
      <x:c r="P35" s="36" t="str">
        <x:v>Anthropic Claude Code / Agent Skills</x:v>
      </x:c>
      <x:c r="Q35" s="36" t="str">
        <x:v>社区 skill、开源仓库</x:v>
      </x:c>
      <x:c r="R35" s="39" t="str">
        <x:v>未明确</x:v>
      </x:c>
      <x:c r="S35" s="41" t="n">
        <x:v>90</x:v>
      </x:c>
      <x:c r="T35" s="42" t="n">
        <x:v>46109</x:v>
      </x:c>
      <x:c r="U35" s="36" t="str">
        <x:v>https://github.com/keemanxp/slr-prisma/blob/main/SKILL.md</x:v>
      </x:c>
      <x:c r="V35" s="36" t="str">
        <x:v>https://github.com/keemanxp/slr-prisma</x:v>
      </x:c>
    </x:row>
  </x:sheetData>
  <x:mergeCells>
    <x:mergeCell ref="A1:V1"/>
    <x:mergeCell ref="A2:V2"/>
    <x:mergeCell ref="A3:L3"/>
    <x:mergeCell ref="M3:V3"/>
  </x:mergeCells>
  <x:conditionalFormatting sqref="I5:I35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35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  <x:hyperlink ref="U8" r:id="rIdHyperlink7"/>
    <x:hyperlink ref="V8" r:id="rIdHyperlink8"/>
    <x:hyperlink ref="U9" r:id="rIdHyperlink9"/>
    <x:hyperlink ref="V9" r:id="rIdHyperlink10"/>
    <x:hyperlink ref="U10" r:id="rIdHyperlink11"/>
    <x:hyperlink ref="V10" r:id="rIdHyperlink12"/>
    <x:hyperlink ref="U11" r:id="rIdHyperlink13"/>
    <x:hyperlink ref="V11" r:id="rIdHyperlink14"/>
    <x:hyperlink ref="U12" r:id="rIdHyperlink15"/>
    <x:hyperlink ref="V12" r:id="rIdHyperlink16"/>
    <x:hyperlink ref="U13" r:id="rIdHyperlink17"/>
    <x:hyperlink ref="V13" r:id="rIdHyperlink18"/>
    <x:hyperlink ref="U14" r:id="rIdHyperlink19"/>
    <x:hyperlink ref="V14" r:id="rIdHyperlink20"/>
    <x:hyperlink ref="U15" r:id="rIdHyperlink21"/>
    <x:hyperlink ref="V15" r:id="rIdHyperlink22"/>
    <x:hyperlink ref="U16" r:id="rIdHyperlink23"/>
    <x:hyperlink ref="V16" r:id="rIdHyperlink24"/>
    <x:hyperlink ref="U17" r:id="rIdHyperlink25"/>
    <x:hyperlink ref="V17" r:id="rIdHyperlink26"/>
    <x:hyperlink ref="U18" r:id="rIdHyperlink27"/>
    <x:hyperlink ref="V18" r:id="rIdHyperlink28"/>
    <x:hyperlink ref="U19" r:id="rIdHyperlink29"/>
    <x:hyperlink ref="V19" r:id="rIdHyperlink30"/>
    <x:hyperlink ref="U20" r:id="rIdHyperlink31"/>
    <x:hyperlink ref="V20" r:id="rIdHyperlink32"/>
    <x:hyperlink ref="U21" r:id="rIdHyperlink33"/>
    <x:hyperlink ref="V21" r:id="rIdHyperlink34"/>
    <x:hyperlink ref="U22" r:id="rIdHyperlink35"/>
    <x:hyperlink ref="V22" r:id="rIdHyperlink36"/>
    <x:hyperlink ref="U23" r:id="rIdHyperlink37"/>
    <x:hyperlink ref="V23" r:id="rIdHyperlink38"/>
    <x:hyperlink ref="U24" r:id="rIdHyperlink39"/>
    <x:hyperlink ref="V24" r:id="rIdHyperlink40"/>
    <x:hyperlink ref="U25" r:id="rIdHyperlink41"/>
    <x:hyperlink ref="V25" r:id="rIdHyperlink42"/>
    <x:hyperlink ref="U26" r:id="rIdHyperlink43"/>
    <x:hyperlink ref="V26" r:id="rIdHyperlink44"/>
    <x:hyperlink ref="U27" r:id="rIdHyperlink45"/>
    <x:hyperlink ref="V27" r:id="rIdHyperlink46"/>
    <x:hyperlink ref="U28" r:id="rIdHyperlink47"/>
    <x:hyperlink ref="V28" r:id="rIdHyperlink48"/>
    <x:hyperlink ref="U29" r:id="rIdHyperlink49"/>
    <x:hyperlink ref="V29" r:id="rIdHyperlink50"/>
    <x:hyperlink ref="U30" r:id="rIdHyperlink51"/>
    <x:hyperlink ref="V30" r:id="rIdHyperlink52"/>
    <x:hyperlink ref="U31" r:id="rIdHyperlink53"/>
    <x:hyperlink ref="V31" r:id="rIdHyperlink54"/>
    <x:hyperlink ref="U32" r:id="rIdHyperlink55"/>
    <x:hyperlink ref="V32" r:id="rIdHyperlink56"/>
    <x:hyperlink ref="U33" r:id="rIdHyperlink57"/>
    <x:hyperlink ref="V33" r:id="rIdHyperlink58"/>
    <x:hyperlink ref="U34" r:id="rIdHyperlink59"/>
    <x:hyperlink ref="V34" r:id="rIdHyperlink60"/>
    <x:hyperlink ref="U35" r:id="rIdHyperlink61"/>
    <x:hyperlink ref="V35" r:id="rIdHyperlink62"/>
  </x:hyperlinks>
  <x:tableParts count="1">
    <x:tablePart xmlns:r="http://schemas.openxmlformats.org/officeDocument/2006/relationships" r:id="R2a497733505e4e1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4" max="4" width="24" hidden="0" customWidth="1"/>
    <x:col min="7" max="7" width="24" hidden="0" customWidth="1"/>
    <x:col min="2" max="2" width="12" hidden="0" customWidth="1"/>
    <x:col min="5" max="5" width="12" hidden="0" customWidth="1"/>
    <x:col min="8" max="8" width="12" hidden="0" customWidth="1"/>
  </x:cols>
  <x:sheetData>
    <x:row r="1" ht="40" customHeight="1">
      <x:c r="A1" s="3" t="str">
        <x:v>文献检索与学术研究｜大分类总览｜分类统计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COUNTA('AI技能清单'!$N$5:$N$35)</x:f>
        <x:v>31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小分类</x:v>
      </x:c>
      <x:c r="B5" s="50" t="str">
        <x:v>数量</x:v>
      </x:c>
      <x:c r="C5" s="51"/>
      <x:c r="D5" s="50" t="str">
        <x:v>推荐程度</x:v>
      </x:c>
      <x:c r="E5" s="50" t="str">
        <x:v>数量</x:v>
      </x:c>
      <x:c r="F5" s="51"/>
      <x:c r="G5" s="50" t="str">
        <x:v>接入难度</x:v>
      </x:c>
      <x:c r="H5" s="50" t="str">
        <x:v>数量</x:v>
      </x:c>
    </x:row>
    <x:row r="6">
      <x:c r="A6" s="47" t="str">
        <x:v>03-01 多数据库综合查找</x:v>
      </x:c>
      <x:c r="B6" s="52" t="n">
        <x:f>COUNTIF('AI技能清单'!$B$5:$B$35,A6)</x:f>
        <x:v>5</x:v>
      </x:c>
      <x:c r="C6" s="51"/>
      <x:c r="D6" s="52" t="str">
        <x:v>高</x:v>
      </x:c>
      <x:c r="E6" s="52" t="n">
        <x:f>COUNTIF('AI技能清单'!$I$5:$I$35,D6)</x:f>
        <x:v>16</x:v>
      </x:c>
      <x:c r="F6" s="51"/>
      <x:c r="G6" s="52" t="str">
        <x:v>A｜调整少</x:v>
      </x:c>
      <x:c r="H6" s="52" t="n">
        <x:f>COUNTIF('AI技能清单'!$J$5:$J$35,G6)</x:f>
        <x:v>6</x:v>
      </x:c>
    </x:row>
    <x:row r="7">
      <x:c r="A7" s="47" t="str">
        <x:v>03-02 特定学术数据库查找</x:v>
      </x:c>
      <x:c r="B7" s="52" t="n">
        <x:f>COUNTIF('AI技能清单'!$B$5:$B$35,A7)</x:f>
        <x:v>7</x:v>
      </x:c>
      <x:c r="C7" s="51"/>
      <x:c r="D7" s="52" t="str">
        <x:v>中</x:v>
      </x:c>
      <x:c r="E7" s="52" t="n">
        <x:f>COUNTIF('AI技能清单'!$I$5:$I$35,D7)</x:f>
        <x:v>15</x:v>
      </x:c>
      <x:c r="F7" s="51"/>
      <x:c r="G7" s="52" t="str">
        <x:v>B｜少量调整</x:v>
      </x:c>
      <x:c r="H7" s="52" t="n">
        <x:f>COUNTIF('AI技能清单'!$J$5:$J$35,G7)</x:f>
        <x:v>14</x:v>
      </x:c>
    </x:row>
    <x:row r="8">
      <x:c r="A8" s="47" t="str">
        <x:v>03-03 论文全文与开放资源获取</x:v>
      </x:c>
      <x:c r="B8" s="52" t="n">
        <x:f>COUNTIF('AI技能清单'!$B$5:$B$35,A8)</x:f>
        <x:v>1</x:v>
      </x:c>
      <x:c r="C8" s="51"/>
      <x:c r="D8" s="52" t="str">
        <x:v>其他</x:v>
      </x:c>
      <x:c r="E8" s="52" t="n">
        <x:f>COUNTIF('AI技能清单'!$I$5:$I$35,"&lt;&gt;高")-COUNTIF('AI技能清单'!$I$5:$I$35,"中")</x:f>
        <x:v>0</x:v>
      </x:c>
      <x:c r="F8" s="51"/>
      <x:c r="G8" s="52" t="str">
        <x:v>C｜较多调整</x:v>
      </x:c>
      <x:c r="H8" s="52" t="n">
        <x:f>COUNTIF('AI技能清单'!$J$5:$J$35,G8)</x:f>
        <x:v>11</x:v>
      </x:c>
    </x:row>
    <x:row r="9">
      <x:c r="A9" s="47" t="str">
        <x:v>03-04 个人或团队文献库与研究笔记</x:v>
      </x:c>
      <x:c r="B9" s="52" t="n">
        <x:f>COUNTIF('AI技能清单'!$B$5:$B$35,A9)</x:f>
        <x:v>2</x:v>
      </x:c>
      <x:c r="C9" s="51"/>
      <x:c r="D9" s="51"/>
      <x:c r="E9" s="51"/>
      <x:c r="F9" s="51"/>
      <x:c r="G9" s="52" t="str">
        <x:v>D｜仅参考</x:v>
      </x:c>
      <x:c r="H9" s="52" t="n">
        <x:f>COUNTIF('AI技能清单'!$J$5:$J$35,G9)</x:f>
        <x:v>0</x:v>
      </x:c>
    </x:row>
    <x:row r="10">
      <x:c r="A10" s="47" t="str">
        <x:v>03-05 论文阅读、提炼与批判性分析</x:v>
      </x:c>
      <x:c r="B10" s="52" t="n">
        <x:f>COUNTIF('AI技能清单'!$B$5:$B$35,A10)</x:f>
        <x:v>3</x:v>
      </x:c>
      <x:c r="C10" s="51"/>
      <x:c r="D10" s="51"/>
      <x:c r="E10" s="51"/>
      <x:c r="F10" s="51"/>
      <x:c r="G10" s="51"/>
      <x:c r="H10" s="51"/>
    </x:row>
    <x:row r="11">
      <x:c r="A11" s="47" t="str">
        <x:v>03-06 研究问题与假设形成</x:v>
      </x:c>
      <x:c r="B11" s="52" t="n">
        <x:f>COUNTIF('AI技能清单'!$B$5:$B$35,A11)</x:f>
        <x:v>1</x:v>
      </x:c>
      <x:c r="C11" s="51"/>
      <x:c r="D11" s="51"/>
      <x:c r="E11" s="51"/>
      <x:c r="F11" s="51"/>
      <x:c r="G11" s="51"/>
      <x:c r="H11" s="51"/>
    </x:row>
    <x:row r="12">
      <x:c r="A12" s="47" t="str">
        <x:v>03-07 深度调研与证据材料整理</x:v>
      </x:c>
      <x:c r="B12" s="52" t="n">
        <x:f>COUNTIF('AI技能清单'!$B$5:$B$35,A12)</x:f>
        <x:v>2</x:v>
      </x:c>
      <x:c r="C12" s="51"/>
      <x:c r="D12" s="51"/>
      <x:c r="E12" s="51"/>
      <x:c r="F12" s="51"/>
      <x:c r="G12" s="51"/>
      <x:c r="H12" s="51"/>
    </x:row>
    <x:row r="13">
      <x:c r="A13" s="47" t="str">
        <x:v>03-08 主题性文献梳理与综述写作</x:v>
      </x:c>
      <x:c r="B13" s="52" t="n">
        <x:f>COUNTIF('AI技能清单'!$B$5:$B$35,A13)</x:f>
        <x:v>5</x:v>
      </x:c>
      <x:c r="C13" s="51"/>
      <x:c r="D13" s="51"/>
      <x:c r="E13" s="51"/>
      <x:c r="F13" s="51"/>
      <x:c r="G13" s="51"/>
      <x:c r="H13" s="51"/>
    </x:row>
    <x:row r="14">
      <x:c r="A14" s="47" t="str">
        <x:v>03-09 系统综述流程与文献筛选</x:v>
      </x:c>
      <x:c r="B14" s="52" t="n">
        <x:f>COUNTIF('AI技能清单'!$B$5:$B$35,A14)</x:f>
        <x:v>3</x:v>
      </x:c>
      <x:c r="C14" s="51"/>
      <x:c r="D14" s="51"/>
      <x:c r="E14" s="51"/>
      <x:c r="F14" s="51"/>
      <x:c r="G14" s="51"/>
      <x:c r="H14" s="51"/>
    </x:row>
    <x:row r="15">
      <x:c r="A15" s="47" t="str">
        <x:v>03-10 Meta 分析与定量证据综合</x:v>
      </x:c>
      <x:c r="B15" s="52" t="n">
        <x:f>COUNTIF('AI技能清单'!$B$5:$B$35,A15)</x:f>
        <x:v>1</x:v>
      </x:c>
      <x:c r="C15" s="51"/>
      <x:c r="D15" s="51"/>
      <x:c r="E15" s="51"/>
      <x:c r="F15" s="51"/>
      <x:c r="G15" s="51"/>
      <x:c r="H15" s="51"/>
    </x:row>
    <x:row r="16">
      <x:c r="A16" s="47" t="str">
        <x:v>03-11 学术成果评价与反馈</x:v>
      </x:c>
      <x:c r="B16" s="52" t="n">
        <x:f>COUNTIF('AI技能清单'!$B$5:$B$35,A16)</x:f>
        <x:v>1</x:v>
      </x:c>
      <x:c r="C16" s="51"/>
      <x:c r="D16" s="51"/>
      <x:c r="E16" s="51"/>
      <x:c r="F16" s="51"/>
      <x:c r="G16" s="51"/>
      <x:c r="H16" s="51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文献检索与学术研究｜大分类总览｜来源清单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COUNTIF('AI技能清单'!$V$5:$V$35,B5)</x:f>
        <x:v>8</x:v>
      </x:c>
    </x:row>
    <x:row r="6" ht="68" customHeight="1">
      <x:c r="A6" s="35" t="str">
        <x:v>ShaishavMaisuria/research-paper-lifecycle-skills</x:v>
      </x:c>
      <x:c r="B6" s="35" t="str">
        <x:v>https://github.com/ShaishavMaisuria/research-paper-lifecycle-skills</x:v>
      </x:c>
      <x:c r="C6" s="35" t="str">
        <x:v>社区 skill、开源仓库</x:v>
      </x:c>
      <x:c r="D6" s="35" t="str">
        <x:v>Apache-2.0</x:v>
      </x:c>
      <x:c r="E6" s="56" t="n">
        <x:v>21</x:v>
      </x:c>
      <x:c r="F6" s="57" t="n">
        <x:v>46200</x:v>
      </x:c>
      <x:c r="G6" s="38" t="n">
        <x:f>COUNTIF('AI技能清单'!$V$5:$V$35,B6)</x:f>
        <x:v>5</x:v>
      </x:c>
    </x:row>
    <x:row r="7" ht="68" customHeight="1">
      <x:c r="A7" s="35" t="str">
        <x:v>beita6969/ScienceClaw</x:v>
      </x:c>
      <x:c r="B7" s="35" t="str">
        <x:v>https://github.com/beita6969/ScienceClaw</x:v>
      </x:c>
      <x:c r="C7" s="35" t="str">
        <x:v>社区 skill、开源仓库</x:v>
      </x:c>
      <x:c r="D7" s="35" t="str">
        <x:v>MIT</x:v>
      </x:c>
      <x:c r="E7" s="56" t="n">
        <x:v>872</x:v>
      </x:c>
      <x:c r="F7" s="57" t="n">
        <x:v>46181</x:v>
      </x:c>
      <x:c r="G7" s="38" t="n">
        <x:f>COUNTIF('AI技能清单'!$V$5:$V$35,B7)</x:f>
        <x:v>13</x:v>
      </x:c>
    </x:row>
    <x:row r="8" ht="68" customHeight="1">
      <x:c r="A8" s="35" t="str">
        <x:v>jkitchin/litdb</x:v>
      </x:c>
      <x:c r="B8" s="35" t="str">
        <x:v>https://github.com/jkitchin/litdb</x:v>
      </x:c>
      <x:c r="C8" s="35" t="str">
        <x:v>社区 skill、开源仓库</x:v>
      </x:c>
      <x:c r="D8" s="35" t="str">
        <x:v>MIT</x:v>
      </x:c>
      <x:c r="E8" s="56" t="n">
        <x:v>83</x:v>
      </x:c>
      <x:c r="F8" s="57" t="n">
        <x:v>46119</x:v>
      </x:c>
      <x:c r="G8" s="38" t="n">
        <x:f>COUNTIF('AI技能清单'!$V$5:$V$35,B8)</x:f>
        <x:v>1</x:v>
      </x:c>
    </x:row>
    <x:row r="9" ht="68" customHeight="1">
      <x:c r="A9" s="35" t="str">
        <x:v>keemanxp/slr-prisma</x:v>
      </x:c>
      <x:c r="B9" s="35" t="str">
        <x:v>https://github.com/keemanxp/slr-prisma</x:v>
      </x:c>
      <x:c r="C9" s="35" t="str">
        <x:v>社区 skill、开源仓库</x:v>
      </x:c>
      <x:c r="D9" s="35" t="str">
        <x:v>未明确</x:v>
      </x:c>
      <x:c r="E9" s="56" t="n">
        <x:v>90</x:v>
      </x:c>
      <x:c r="F9" s="57" t="n">
        <x:v>46109</x:v>
      </x:c>
      <x:c r="G9" s="38" t="n">
        <x:f>COUNTIF('AI技能清单'!$V$5:$V$35,B9)</x:f>
        <x:v>1</x:v>
      </x:c>
    </x:row>
    <x:row r="10" ht="68" customHeight="1">
      <x:c r="A10" s="35" t="str">
        <x:v>ustc-ai4science/academic-search</x:v>
      </x:c>
      <x:c r="B10" s="35" t="str">
        <x:v>https://github.com/ustc-ai4science/academic-search</x:v>
      </x:c>
      <x:c r="C10" s="35" t="str">
        <x:v>社区 skill、开源仓库</x:v>
      </x:c>
      <x:c r="D10" s="35" t="str">
        <x:v>MIT</x:v>
      </x:c>
      <x:c r="E10" s="56" t="n">
        <x:v>532</x:v>
      </x:c>
      <x:c r="F10" s="57" t="n">
        <x:v>46208</x:v>
      </x:c>
      <x:c r="G10" s="38" t="n">
        <x:f>COUNTIF('AI技能清单'!$V$5:$V$35,B10)</x:f>
        <x:v>1</x:v>
      </x:c>
    </x:row>
    <x:row r="11" ht="68" customHeight="1">
      <x:c r="A11" s="35" t="str">
        <x:v>wentorai/Research-Claw</x:v>
      </x:c>
      <x:c r="B11" s="35" t="str">
        <x:v>https://github.com/wentorai/Research-Claw</x:v>
      </x:c>
      <x:c r="C11" s="35" t="str">
        <x:v>社区 skill、开源仓库、可移植工作流</x:v>
      </x:c>
      <x:c r="D11" s="35" t="str">
        <x:v>未明确</x:v>
      </x:c>
      <x:c r="E11" s="56" t="n">
        <x:v>849</x:v>
      </x:c>
      <x:c r="F11" s="57" t="n">
        <x:v>46235</x:v>
      </x:c>
      <x:c r="G11" s="38" t="n">
        <x:f>COUNTIF('AI技能清单'!$V$5:$V$35,B11)</x:f>
        <x:v>2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  <x:hyperlink ref="B7" r:id="rIdHyperlink3"/>
    <x:hyperlink ref="B8" r:id="rIdHyperlink4"/>
    <x:hyperlink ref="B9" r:id="rIdHyperlink5"/>
    <x:hyperlink ref="B10" r:id="rIdHyperlink6"/>
    <x:hyperlink ref="B11" r:id="rIdHyperlink7"/>
  </x:hyperlinks>
  <x:tableParts count="1">
    <x:tablePart xmlns:r="http://schemas.openxmlformats.org/officeDocument/2006/relationships" r:id="R0e58bbdb2a62420a"/>
  </x:tableParts>
</x:worksheet>
</file>