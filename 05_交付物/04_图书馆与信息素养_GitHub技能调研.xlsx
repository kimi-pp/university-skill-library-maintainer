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eb564e66c8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25df81b6d8b4823"/>
    <x:sheet xmlns:r="http://schemas.openxmlformats.org/officeDocument/2006/relationships" name="Skill总表" sheetId="2" r:id="R72a42a1f6338489b"/>
    <x:sheet xmlns:r="http://schemas.openxmlformats.org/officeDocument/2006/relationships" name="分类统计" sheetId="3" r:id="R5d2fe2c6f32945ae"/>
    <x:sheet xmlns:r="http://schemas.openxmlformats.org/officeDocument/2006/relationships" name="来源清单" sheetId="4" r:id="R02a567e6c59e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8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0"/>
      </x:patternFill>
    </x:fill>
    <x:fill>
      <x:patternFill patternType="solid">
        <x:fgColor rgb="FF1F6F8B"/>
      </x:patternFill>
    </x:fill>
    <x:fill>
      <x:patternFill patternType="solid">
        <x:fgColor rgb="FFF4F7F9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324F"/>
      </x:font>
      <x:fill>
        <x:patternFill patternType="solid">
          <x:bgColor rgb="FFDDF3E4"/>
        </x:patternFill>
      </x:fill>
    </x:dxf>
    <x:dxf>
      <x:fill>
        <x:patternFill patternType="solid">
          <x:bgColor rgb="FFDCEAF0"/>
        </x:patternFill>
      </x:fill>
    </x:dxf>
    <x:dxf>
      <x:fill>
        <x:patternFill patternType="solid">
          <x:bgColor rgb="FFFFF0C7"/>
        </x:patternFill>
      </x:fill>
    </x:dxf>
    <x:dxf>
      <x:font>
        <x:b/>
      </x:font>
      <x:fill>
        <x:patternFill patternType="solid">
          <x:bgColor rgb="FFDDF3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4127554364758" /><Relationship Type="http://schemas.openxmlformats.org/officeDocument/2006/relationships/theme" Target="/xl/theme/theme1.xml" Id="R626f27963cd44950" /><Relationship Type="http://schemas.openxmlformats.org/officeDocument/2006/relationships/sharedStrings" Target="/xl/sharedStrings.xml" Id="R6c7d8a0d2323453b" /><Relationship Type="http://schemas.openxmlformats.org/officeDocument/2006/relationships/worksheet" Target="/xl/worksheets/sheet1.xml" Id="R525df81b6d8b4823" /><Relationship Type="http://schemas.openxmlformats.org/officeDocument/2006/relationships/worksheet" Target="/xl/worksheets/sheet2.xml" Id="R72a42a1f6338489b" /><Relationship Type="http://schemas.openxmlformats.org/officeDocument/2006/relationships/worksheet" Target="/xl/worksheets/sheet3.xml" Id="R5d2fe2c6f32945ae" /><Relationship Type="http://schemas.openxmlformats.org/officeDocument/2006/relationships/worksheet" Target="/xl/worksheets/sheet4.xml" Id="R02a567e6c59e4c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5c4945bc4e45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兼容等级分布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数量</c:v>
          </c:tx>
          <c:cat>
            <c:strRef>
              <c:f>'分类统计'!$A$13:$A$16</c:f>
              <c:strCache>
                <c:ptCount val="0"/>
              </c:strCache>
            </c:strRef>
          </c:cat>
          <c:val>
            <c:numRef>
              <c:f>'分类统计'!$B$13:$B$16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5c4945bc4e456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killTable04" displayName="SkillTable04" ref="A4:V33" headerRowCount="1" totalsRowCount="0" totalsRowShown="0">
  <x:tableColumns count="22">
    <x:tableColumn id="1" name="序号"/>
    <x:tableColumn id="2" name="Skill ID"/>
    <x:tableColumn id="3" name="Skill名称"/>
    <x:tableColumn id="4" name="中文定位"/>
    <x:tableColumn id="5" name="简略功能"/>
    <x:tableColumn id="6" name="Skill地址"/>
    <x:tableColumn id="7" name="GitHub仓库"/>
    <x:tableColumn id="8" name="仓库地址"/>
    <x:tableColumn id="9" name="生态"/>
    <x:tableColumn id="10" name="来源形态"/>
    <x:tableColumn id="11" name="功能标签"/>
    <x:tableColumn id="12" name="适用角色"/>
    <x:tableColumn id="13" name="典型场景"/>
    <x:tableColumn id="14" name="兼容等级"/>
    <x:tableColumn id="15" name="适配建议"/>
    <x:tableColumn id="16" name="依赖条件"/>
    <x:tableColumn id="17" name="风险与边界"/>
    <x:tableColumn id="18" name="验证层级"/>
    <x:tableColumn id="19" name="优先级"/>
    <x:tableColumn id="20" name="Stars"/>
    <x:tableColumn id="21" name="最近推送"/>
    <x:tableColumn id="22" name="许可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Table04" displayName="SourceTable04" ref="A4:G16" headerRowCount="1" totalsRowCount="0" totalsRowShown="0">
  <x:tableColumns count="7">
    <x:tableColumn id="1" name="GitHub仓库"/>
    <x:tableColumn id="2" name="仓库地址"/>
    <x:tableColumn id="3" name="Stars"/>
    <x:tableColumn id="4" name="最近推送"/>
    <x:tableColumn id="5" name="许可证"/>
    <x:tableColumn id="6" name="入选Skill数"/>
    <x:tableColumn id="7" name="来源形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b26afd725241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ecd44e1d9cd43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24ea917a63342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28" hidden="0" customWidth="1"/>
    <x:col min="4" max="4" width="28" hidden="0" customWidth="1"/>
  </x:cols>
  <x:sheetData>
    <x:row r="1" ht="38" customHeight="1">
      <x:c r="A1" s="3" t="str">
        <x:v>图书馆与信息素养｜GitHub Skill 调研</x:v>
      </x:c>
      <x:c r="B1" s="3"/>
      <x:c r="C1" s="3"/>
      <x:c r="D1" s="3"/>
      <x:c r="E1" s="3"/>
      <x:c r="F1" s="3"/>
      <x:c r="G1" s="3"/>
      <x:c r="H1" s="3"/>
    </x:row>
    <x:row r="2">
      <x:c r="A2" s="6" t="str">
        <x:v>独立分类交付物｜仅含入选项｜数据日期 2026-08-06</x:v>
      </x:c>
      <x:c r="B2" s="6"/>
      <x:c r="C2" s="6"/>
      <x:c r="D2" s="6"/>
      <x:c r="E2" s="6"/>
      <x:c r="F2" s="6"/>
      <x:c r="G2" s="6"/>
      <x:c r="H2" s="6"/>
    </x:row>
    <x:row r="4">
      <x:c r="A4" s="9" t="str">
        <x:v>项目</x:v>
      </x:c>
      <x:c r="B4" s="9" t="str">
        <x:v>说明</x:v>
      </x:c>
    </x:row>
    <x:row r="5">
      <x:c r="A5" s="12" t="str">
        <x:v>调研范围</x:v>
      </x:c>
      <x:c r="B5" s="13" t="str">
        <x:v>仅 GitHub；其他平台与市场不在本轮交付范围</x:v>
      </x:c>
    </x:row>
    <x:row r="6">
      <x:c r="A6" s="12" t="str">
        <x:v>分类</x:v>
      </x:c>
      <x:c r="B6" s="13" t="str">
        <x:v>图书馆与信息素养</x:v>
      </x:c>
    </x:row>
    <x:row r="7">
      <x:c r="A7" s="12" t="str">
        <x:v>入选数量</x:v>
      </x:c>
      <x:c r="B7" s="13" t="n">
        <x:v>29</x:v>
      </x:c>
    </x:row>
    <x:row r="8">
      <x:c r="A8" s="12" t="str">
        <x:v>内容验证</x:v>
      </x:c>
      <x:c r="B8" s="13" t="str">
        <x:v>读取 SKILL.md/README；部分候选进一步检查脚本、references、assets 和仓库结构</x:v>
      </x:c>
    </x:row>
    <x:row r="9">
      <x:c r="A9" s="12" t="str">
        <x:v>运行验证</x:v>
      </x:c>
      <x:c r="B9" s="13" t="str">
        <x:v>未安装、未执行；仅在用户另行指令后开展</x:v>
      </x:c>
    </x:row>
    <x:row r="10">
      <x:c r="A10" s="12" t="str">
        <x:v>排除项</x:v>
      </x:c>
      <x:c r="B10" s="13" t="str">
        <x:v>不进入本表；仅保存在项目内部归档</x:v>
      </x:c>
    </x:row>
    <x:row r="12">
      <x:c r="A12" s="14" t="str">
        <x:v>兼容等级释义</x:v>
      </x:c>
      <x:c r="B12" s="14"/>
      <x:c r="C12" s="14"/>
      <x:c r="D12" s="14"/>
      <x:c r="E12" s="14"/>
      <x:c r="F12" s="14"/>
      <x:c r="G12" s="14"/>
      <x:c r="H12" s="14"/>
    </x:row>
    <x:row r="13">
      <x:c r="A13" s="15" t="str">
        <x:v>等级</x:v>
      </x:c>
      <x:c r="B13" s="15" t="str">
        <x:v>含义</x:v>
      </x:c>
      <x:c r="C13" s="15" t="str">
        <x:v>建议</x:v>
      </x:c>
      <x:c r="D13" s="15" t="str">
        <x:v>备注</x:v>
      </x:c>
    </x:row>
    <x:row r="14">
      <x:c r="A14" s="13" t="str">
        <x:v>A</x:v>
      </x:c>
      <x:c r="B14" s="13" t="str">
        <x:v>可直接按 Agent Skill/Codex skill 结构使用</x:v>
      </x:c>
      <x:c r="C14" s="13" t="str">
        <x:v>优先试点</x:v>
      </x:c>
      <x:c r="D14" s="13" t="str">
        <x:v>仍需按本校工具和制度补充配置</x:v>
      </x:c>
    </x:row>
    <x:row r="15">
      <x:c r="A15" s="13" t="str">
        <x:v>B</x:v>
      </x:c>
      <x:c r="B15" s="13" t="str">
        <x:v>核心工作流可移植，需要替换工具或路径</x:v>
      </x:c>
      <x:c r="C15" s="13" t="str">
        <x:v>列入适配队列</x:v>
      </x:c>
      <x:c r="D15" s="13" t="str">
        <x:v>通常依赖外部 API、脚本或相邻 skill</x:v>
      </x:c>
    </x:row>
    <x:row r="16">
      <x:c r="A16" s="13" t="str">
        <x:v>C</x:v>
      </x:c>
      <x:c r="B16" s="13" t="str">
        <x:v>可借鉴，但需明显重写或部署配套服务</x:v>
      </x:c>
      <x:c r="C16" s="13" t="str">
        <x:v>场景验证后再建设</x:v>
      </x:c>
      <x:c r="D16" s="13" t="str">
        <x:v>关注维护、权限与部署成本</x:v>
      </x:c>
    </x:row>
    <x:row r="17">
      <x:c r="A17" s="13" t="str">
        <x:v>D</x:v>
      </x:c>
      <x:c r="B17" s="13" t="str">
        <x:v>主要作为方法或模板参考</x:v>
      </x:c>
      <x:c r="C17" s="13" t="str">
        <x:v>按需吸收</x:v>
      </x:c>
      <x:c r="D17" s="13" t="str">
        <x:v>不建议原样接入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24" hidden="0" customWidth="1"/>
    <x:col min="5" max="5" width="42" hidden="0" customWidth="1"/>
    <x:col min="6" max="6" width="55" hidden="0" customWidth="1"/>
    <x:col min="7" max="7" width="37" hidden="0" customWidth="1"/>
    <x:col min="8" max="8" width="46" hidden="0" customWidth="1"/>
    <x:col min="9" max="9" width="30" hidden="0" customWidth="1"/>
    <x:col min="10" max="10" width="30" hidden="0" customWidth="1"/>
    <x:col min="11" max="11" width="34" hidden="0" customWidth="1"/>
    <x:col min="12" max="12" width="34" hidden="0" customWidth="1"/>
    <x:col min="13" max="13" width="34" hidden="0" customWidth="1"/>
    <x:col min="14" max="14" width="34" hidden="0" customWidth="1"/>
    <x:col min="15" max="15" width="34" hidden="0" customWidth="1"/>
    <x:col min="16" max="16" width="34" hidden="0" customWidth="1"/>
    <x:col min="17" max="17" width="34" hidden="0" customWidth="1"/>
    <x:col min="18" max="18" width="15" hidden="0" customWidth="1"/>
    <x:col min="19" max="19" width="15" hidden="0" customWidth="1"/>
    <x:col min="20" max="20" width="11" hidden="0" customWidth="1"/>
    <x:col min="21" max="21" width="14" hidden="0" customWidth="1"/>
    <x:col min="22" max="22" width="20" hidden="0" customWidth="1"/>
  </x:cols>
  <x:sheetData>
    <x:row r="1" ht="34" customHeight="1">
      <x:c r="A1" s="16" t="str">
        <x:v>图书馆与信息素养｜入选 Skill 总表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  <x:c r="S1" s="16"/>
      <x:c r="T1" s="16"/>
      <x:c r="U1" s="16"/>
      <x:c r="V1" s="16"/>
    </x:row>
    <x:row r="2">
      <x:c r="A2" s="5" t="str">
        <x:v>共 29 项；地址为纯文本 GitHub URL；验证不含安装或运行。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4" ht="32" customHeight="1">
      <x:c r="A4" s="15" t="str">
        <x:v>序号</x:v>
      </x:c>
      <x:c r="B4" s="15" t="str">
        <x:v>Skill ID</x:v>
      </x:c>
      <x:c r="C4" s="15" t="str">
        <x:v>Skill名称</x:v>
      </x:c>
      <x:c r="D4" s="15" t="str">
        <x:v>中文定位</x:v>
      </x:c>
      <x:c r="E4" s="15" t="str">
        <x:v>简略功能</x:v>
      </x:c>
      <x:c r="F4" s="15" t="str">
        <x:v>Skill地址</x:v>
      </x:c>
      <x:c r="G4" s="15" t="str">
        <x:v>GitHub仓库</x:v>
      </x:c>
      <x:c r="H4" s="15" t="str">
        <x:v>仓库地址</x:v>
      </x:c>
      <x:c r="I4" s="15" t="str">
        <x:v>生态</x:v>
      </x:c>
      <x:c r="J4" s="15" t="str">
        <x:v>来源形态</x:v>
      </x:c>
      <x:c r="K4" s="15" t="str">
        <x:v>功能标签</x:v>
      </x:c>
      <x:c r="L4" s="15" t="str">
        <x:v>适用角色</x:v>
      </x:c>
      <x:c r="M4" s="15" t="str">
        <x:v>典型场景</x:v>
      </x:c>
      <x:c r="N4" s="15" t="str">
        <x:v>兼容等级</x:v>
      </x:c>
      <x:c r="O4" s="15" t="str">
        <x:v>适配建议</x:v>
      </x:c>
      <x:c r="P4" s="15" t="str">
        <x:v>依赖条件</x:v>
      </x:c>
      <x:c r="Q4" s="15" t="str">
        <x:v>风险与边界</x:v>
      </x:c>
      <x:c r="R4" s="15" t="str">
        <x:v>验证层级</x:v>
      </x:c>
      <x:c r="S4" s="15" t="str">
        <x:v>优先级</x:v>
      </x:c>
      <x:c r="T4" s="15" t="str">
        <x:v>Stars</x:v>
      </x:c>
      <x:c r="U4" s="15" t="str">
        <x:v>最近推送</x:v>
      </x:c>
      <x:c r="V4" s="15" t="str">
        <x:v>许可证</x:v>
      </x:c>
    </x:row>
    <x:row r="5" ht="58" customHeight="1">
      <x:c r="A5" s="20" t="n">
        <x:v>1</x:v>
      </x:c>
      <x:c r="B5" s="20" t="str">
        <x:v>GH-04-0001</x:v>
      </x:c>
      <x:c r="C5" s="19" t="str">
        <x:v>information-literacy</x:v>
      </x:c>
      <x:c r="D5" s="19" t="str">
        <x:v>信息素养与研究流程</x:v>
      </x:c>
      <x:c r="E5" s="19" t="str">
        <x:v>用分阶段流程训练从研究问题到检索、评价、综合和规范归因的信息素养。</x:v>
      </x:c>
      <x:c r="F5" s="19" t="str">
        <x:v>https://github.com/Tibsfox/gsd-skill-creator/blob/main/examples/skills/reading/information-literacy/SKILL.md</x:v>
      </x:c>
      <x:c r="G5" s="19" t="str">
        <x:v>Tibsfox/gsd-skill-creator</x:v>
      </x:c>
      <x:c r="H5" s="19" t="str">
        <x:v>https://github.com/Tibsfox/gsd-skill-creator</x:v>
      </x:c>
      <x:c r="I5" s="19" t="str">
        <x:v>Agent Skills 社区示例</x:v>
      </x:c>
      <x:c r="J5" s="19" t="str">
        <x:v>社区 skill、GitHub 公开仓库（许可证待核）</x:v>
      </x:c>
      <x:c r="K5" s="19" t="str">
        <x:v>信息素养、研究问题、来源评估、引用</x:v>
      </x:c>
      <x:c r="L5" s="19" t="str">
        <x:v>学生、教师、图书馆人员</x:v>
      </x:c>
      <x:c r="M5" s="19" t="str">
        <x:v>信息素养课程、读者培训、图书馆项目与服务设计</x:v>
      </x:c>
      <x:c r="N5" s="21" t="str">
        <x:v>B</x:v>
      </x:c>
      <x:c r="O5" s="19" t="str">
        <x:v>可作为课程或服务模板，需补充本校资源、制度、学习目标和评价量规。</x:v>
      </x:c>
      <x:c r="P5" s="19" t="str">
        <x:v>无硬性运行依赖；实施时需要本校资源与受众信息</x:v>
      </x:c>
      <x:c r="Q5" s="19" t="str">
        <x:v>内容较通用或较轻量，不能替代本校政策、专业馆员判断和学习成效评估。 仓库许可证未明确或无法由 GitHub 自动识别，采用前需单独核验。</x:v>
      </x:c>
      <x:c r="R5" s="21" t="str">
        <x:v>说明已核验</x:v>
      </x:c>
      <x:c r="S5" s="21" t="str">
        <x:v>高</x:v>
      </x:c>
      <x:c r="T5" s="20" t="n">
        <x:v>69</x:v>
      </x:c>
      <x:c r="U5" s="20" t="str">
        <x:v>2026-07-19</x:v>
      </x:c>
      <x:c r="V5" s="18" t="str">
        <x:v>NOASSERTION</x:v>
      </x:c>
    </x:row>
    <x:row r="6" ht="58" customHeight="1">
      <x:c r="A6" s="20" t="n">
        <x:v>2</x:v>
      </x:c>
      <x:c r="B6" s="20" t="str">
        <x:v>GH-04-0002</x:v>
      </x:c>
      <x:c r="C6" s="19" t="str">
        <x:v>information-evaluation</x:v>
      </x:c>
      <x:c r="D6" s="19" t="str">
        <x:v>网络信息评价与横向阅读</x:v>
      </x:c>
      <x:c r="E6" s="19" t="str">
        <x:v>运用 SIFT、横向阅读和反向图像检索快速判断网络信息与来源可信度。</x:v>
      </x:c>
      <x:c r="F6" s="19" t="str">
        <x:v>https://github.com/Tibsfox/gsd-skill-creator/blob/main/examples/skills/digital-literacy/information-evaluation/SKILL.md</x:v>
      </x:c>
      <x:c r="G6" s="19" t="str">
        <x:v>Tibsfox/gsd-skill-creator</x:v>
      </x:c>
      <x:c r="H6" s="19" t="str">
        <x:v>https://github.com/Tibsfox/gsd-skill-creator</x:v>
      </x:c>
      <x:c r="I6" s="19" t="str">
        <x:v>Agent Skills 社区示例</x:v>
      </x:c>
      <x:c r="J6" s="19" t="str">
        <x:v>社区 skill、GitHub 公开仓库（许可证待核）</x:v>
      </x:c>
      <x:c r="K6" s="19" t="str">
        <x:v>SIFT、横向阅读、来源评价、反向检索</x:v>
      </x:c>
      <x:c r="L6" s="19" t="str">
        <x:v>学生、教师、科研人员、图书馆与宣传人员</x:v>
      </x:c>
      <x:c r="M6" s="19" t="str">
        <x:v>课程信息辨识、新闻与网络主张核验、来源教育</x:v>
      </x:c>
      <x:c r="N6" s="21" t="str">
        <x:v>B</x:v>
      </x:c>
      <x:c r="O6" s="19" t="str">
        <x:v>保留证据分级和人工裁决，把搜索工具替换为本项目可用的浏览与数据库接口。</x:v>
      </x:c>
      <x:c r="P6" s="19" t="str">
        <x:v>网络检索；必要时使用网页归档或反向图像检索</x:v>
      </x:c>
      <x:c r="Q6" s="19" t="str">
        <x:v>检索不到不等于主张为假；恶意网页内容、时效性和来源偏差需单独处理。 仓库许可证未明确或无法由 GitHub 自动识别，采用前需单独核验。</x:v>
      </x:c>
      <x:c r="R6" s="21" t="str">
        <x:v>说明已核验</x:v>
      </x:c>
      <x:c r="S6" s="21" t="str">
        <x:v>高</x:v>
      </x:c>
      <x:c r="T6" s="20" t="n">
        <x:v>69</x:v>
      </x:c>
      <x:c r="U6" s="20" t="str">
        <x:v>2026-07-19</x:v>
      </x:c>
      <x:c r="V6" s="18" t="str">
        <x:v>NOASSERTION</x:v>
      </x:c>
    </x:row>
    <x:row r="7" ht="58" customHeight="1">
      <x:c r="A7" s="20" t="n">
        <x:v>3</x:v>
      </x:c>
      <x:c r="B7" s="20" t="str">
        <x:v>GH-04-0003</x:v>
      </x:c>
      <x:c r="C7" s="19" t="str">
        <x:v>media-literacy</x:v>
      </x:c>
      <x:c r="D7" s="19" t="str">
        <x:v>媒体与新闻素养</x:v>
      </x:c>
      <x:c r="E7" s="19" t="str">
        <x:v>分析媒介形式、新闻框架、算法分发和受众解码，提升媒体内容辨识能力。</x:v>
      </x:c>
      <x:c r="F7" s="19" t="str">
        <x:v>https://github.com/Tibsfox/gsd-skill-creator/blob/main/examples/skills/communication/media-literacy/SKILL.md</x:v>
      </x:c>
      <x:c r="G7" s="19" t="str">
        <x:v>Tibsfox/gsd-skill-creator</x:v>
      </x:c>
      <x:c r="H7" s="19" t="str">
        <x:v>https://github.com/Tibsfox/gsd-skill-creator</x:v>
      </x:c>
      <x:c r="I7" s="19" t="str">
        <x:v>Agent Skills 社区示例</x:v>
      </x:c>
      <x:c r="J7" s="19" t="str">
        <x:v>社区 skill、GitHub 公开仓库（许可证待核）</x:v>
      </x:c>
      <x:c r="K7" s="19" t="str">
        <x:v>媒体生态、框架分析、新闻素养、算法意识</x:v>
      </x:c>
      <x:c r="L7" s="19" t="str">
        <x:v>学生、教师、图书馆人员</x:v>
      </x:c>
      <x:c r="M7" s="19" t="str">
        <x:v>信息素养课程、读者培训、图书馆项目与服务设计</x:v>
      </x:c>
      <x:c r="N7" s="21" t="str">
        <x:v>B</x:v>
      </x:c>
      <x:c r="O7" s="19" t="str">
        <x:v>可作为课程或服务模板，需补充本校资源、制度、学习目标和评价量规。</x:v>
      </x:c>
      <x:c r="P7" s="19" t="str">
        <x:v>无硬性运行依赖；实施时需要本校资源与受众信息</x:v>
      </x:c>
      <x:c r="Q7" s="19" t="str">
        <x:v>内容较通用或较轻量，不能替代本校政策、专业馆员判断和学习成效评估。 仓库许可证未明确或无法由 GitHub 自动识别，采用前需单独核验。</x:v>
      </x:c>
      <x:c r="R7" s="21" t="str">
        <x:v>说明已核验</x:v>
      </x:c>
      <x:c r="S7" s="21" t="str">
        <x:v>中</x:v>
      </x:c>
      <x:c r="T7" s="20" t="n">
        <x:v>69</x:v>
      </x:c>
      <x:c r="U7" s="20" t="str">
        <x:v>2026-07-19</x:v>
      </x:c>
      <x:c r="V7" s="18" t="str">
        <x:v>NOASSERTION</x:v>
      </x:c>
    </x:row>
    <x:row r="8" ht="58" customHeight="1">
      <x:c r="A8" s="20" t="n">
        <x:v>4</x:v>
      </x:c>
      <x:c r="B8" s="20" t="str">
        <x:v>GH-04-0004</x:v>
      </x:c>
      <x:c r="C8" s="19" t="str">
        <x:v>source-analysis</x:v>
      </x:c>
      <x:c r="D8" s="19" t="str">
        <x:v>一手与二手资料分析</x:v>
      </x:c>
      <x:c r="E8" s="19" t="str">
        <x:v>用来源类型、作者、语境、目的和相互印证框架分析一手与二手资料。</x:v>
      </x:c>
      <x:c r="F8" s="19" t="str">
        <x:v>https://github.com/Tibsfox/gsd-skill-creator/blob/main/examples/skills/history/source-analysis/SKILL.md</x:v>
      </x:c>
      <x:c r="G8" s="19" t="str">
        <x:v>Tibsfox/gsd-skill-creator</x:v>
      </x:c>
      <x:c r="H8" s="19" t="str">
        <x:v>https://github.com/Tibsfox/gsd-skill-creator</x:v>
      </x:c>
      <x:c r="I8" s="19" t="str">
        <x:v>Agent Skills 社区示例</x:v>
      </x:c>
      <x:c r="J8" s="19" t="str">
        <x:v>社区 skill、GitHub 公开仓库（许可证待核）</x:v>
      </x:c>
      <x:c r="K8" s="19" t="str">
        <x:v>史料分析、来源语境、作者目的、证据</x:v>
      </x:c>
      <x:c r="L8" s="19" t="str">
        <x:v>学生、教师、科研人员、图书馆与宣传人员</x:v>
      </x:c>
      <x:c r="M8" s="19" t="str">
        <x:v>课程信息辨识、新闻与网络主张核验、来源教育</x:v>
      </x:c>
      <x:c r="N8" s="21" t="str">
        <x:v>B</x:v>
      </x:c>
      <x:c r="O8" s="19" t="str">
        <x:v>保留证据分级和人工裁决，把搜索工具替换为本项目可用的浏览与数据库接口。</x:v>
      </x:c>
      <x:c r="P8" s="19" t="str">
        <x:v>网络检索；必要时使用网页归档或反向图像检索</x:v>
      </x:c>
      <x:c r="Q8" s="19" t="str">
        <x:v>检索不到不等于主张为假；恶意网页内容、时效性和来源偏差需单独处理。 仓库许可证未明确或无法由 GitHub 自动识别，采用前需单独核验。</x:v>
      </x:c>
      <x:c r="R8" s="21" t="str">
        <x:v>说明已核验</x:v>
      </x:c>
      <x:c r="S8" s="21" t="str">
        <x:v>高</x:v>
      </x:c>
      <x:c r="T8" s="20" t="n">
        <x:v>69</x:v>
      </x:c>
      <x:c r="U8" s="20" t="str">
        <x:v>2026-07-19</x:v>
      </x:c>
      <x:c r="V8" s="18" t="str">
        <x:v>NOASSERTION</x:v>
      </x:c>
    </x:row>
    <x:row r="9" ht="58" customHeight="1">
      <x:c r="A9" s="20" t="n">
        <x:v>5</x:v>
      </x:c>
      <x:c r="B9" s="20" t="str">
        <x:v>GH-04-0005</x:v>
      </x:c>
      <x:c r="C9" s="19" t="str">
        <x:v>research-information-literacy</x:v>
      </x:c>
      <x:c r="D9" s="19" t="str">
        <x:v>研究与信息素养综合指南</x:v>
      </x:c>
      <x:c r="E9" s="19" t="str">
        <x:v>把数据库高级检索、来源评价、文献综合、研究方法和引文管理汇总为入门指南。</x:v>
      </x:c>
      <x:c r="F9" s="19" t="str">
        <x:v>https://github.com/AhmedAnwar-Gazy/latex_templet/blob/main/.agents/skills/research-information-literacy/SKILL.md</x:v>
      </x:c>
      <x:c r="G9" s="19" t="str">
        <x:v>AhmedAnwar-Gazy/latex_templet</x:v>
      </x:c>
      <x:c r="H9" s="19" t="str">
        <x:v>https://github.com/AhmedAnwar-Gazy/latex_templet</x:v>
      </x:c>
      <x:c r="I9" s="19" t="str">
        <x:v>Agent Skills（.agents 目录）</x:v>
      </x:c>
      <x:c r="J9" s="19" t="str">
        <x:v>社区 skill、GitHub 公开仓库（许可证待核）</x:v>
      </x:c>
      <x:c r="K9" s="19" t="str">
        <x:v>数据库检索、文献综合、研究方法、引文管理</x:v>
      </x:c>
      <x:c r="L9" s="19" t="str">
        <x:v>学生、教师、图书馆人员</x:v>
      </x:c>
      <x:c r="M9" s="19" t="str">
        <x:v>信息素养课程、读者培训、图书馆项目与服务设计</x:v>
      </x:c>
      <x:c r="N9" s="21" t="str">
        <x:v>B</x:v>
      </x:c>
      <x:c r="O9" s="19" t="str">
        <x:v>可作为课程或服务模板，需补充本校资源、制度、学习目标和评价量规。</x:v>
      </x:c>
      <x:c r="P9" s="19" t="str">
        <x:v>无硬性运行依赖；实施时需要本校资源与受众信息</x:v>
      </x:c>
      <x:c r="Q9" s="19" t="str">
        <x:v>内容较通用或较轻量，不能替代本校政策、专业馆员判断和学习成效评估。 仓库许可证未明确或无法由 GitHub 自动识别，采用前需单独核验。</x:v>
      </x:c>
      <x:c r="R9" s="21" t="str">
        <x:v>说明已核验</x:v>
      </x:c>
      <x:c r="S9" s="21" t="str">
        <x:v>中</x:v>
      </x:c>
      <x:c r="T9" s="20" t="n">
        <x:v>1</x:v>
      </x:c>
      <x:c r="U9" s="20" t="str">
        <x:v>2026-05-08</x:v>
      </x:c>
      <x:c r="V9" s="18" t="str">
        <x:v>未明确</x:v>
      </x:c>
    </x:row>
    <x:row r="10" ht="58" customHeight="1">
      <x:c r="A10" s="20" t="n">
        <x:v>6</x:v>
      </x:c>
      <x:c r="B10" s="20" t="str">
        <x:v>GH-04-0006</x:v>
      </x:c>
      <x:c r="C10" s="19" t="str">
        <x:v>digital-library-plan</x:v>
      </x:c>
      <x:c r="D10" s="19" t="str">
        <x:v>数字图书馆规划模板</x:v>
      </x:c>
      <x:c r="E10" s="19" t="str">
        <x:v>生成数字图书馆建设的目标、关键组件、行动计划和成功指标。</x:v>
      </x:c>
      <x:c r="F10" s="19" t="str">
        <x:v>https://github.com/lionelsimai/claude-skills-collection/blob/main/skills/digital-library-plan/SKILL.md</x:v>
      </x:c>
      <x:c r="G10" s="19" t="str">
        <x:v>lionelsimai/claude-skills-collection</x:v>
      </x:c>
      <x:c r="H10" s="19" t="str">
        <x:v>https://github.com/lionelsimai/claude-skills-collection</x:v>
      </x:c>
      <x:c r="I10" s="19" t="str">
        <x:v>Anthropic Claude Code / 可移植模板</x:v>
      </x:c>
      <x:c r="J10" s="19" t="str">
        <x:v>社区 skill、GitHub 开源仓库</x:v>
      </x:c>
      <x:c r="K10" s="19" t="str">
        <x:v>数字图书馆、需求分析、实施路线、指标</x:v>
      </x:c>
      <x:c r="L10" s="19" t="str">
        <x:v>学生、教师、科研人员、图书馆人员</x:v>
      </x:c>
      <x:c r="M10" s="19" t="str">
        <x:v>馆藏发现、开放资源检索、知识库建设与服务规划</x:v>
      </x:c>
      <x:c r="N10" s="21" t="str">
        <x:v>B</x:v>
      </x:c>
      <x:c r="O10" s="19" t="str">
        <x:v>将示例端点、认证方式和输出字段映射到本校图书馆系统；先以只读方式接入。</x:v>
      </x:c>
      <x:c r="P10" s="19" t="str">
        <x:v>网络；部分功能需要 API 密钥、机构订阅或本地脚本</x:v>
      </x:c>
      <x:c r="Q10" s="19" t="str">
        <x:v>外部接口、馆藏覆盖和访问政策会变化；不得绕过权限或版权限制。</x:v>
      </x:c>
      <x:c r="R10" s="21" t="str">
        <x:v>说明已核验</x:v>
      </x:c>
      <x:c r="S10" s="21" t="str">
        <x:v>中</x:v>
      </x:c>
      <x:c r="T10" s="20" t="n">
        <x:v>20</x:v>
      </x:c>
      <x:c r="U10" s="20" t="str">
        <x:v>2026-02-08</x:v>
      </x:c>
      <x:c r="V10" s="18" t="str">
        <x:v>MIT</x:v>
      </x:c>
    </x:row>
    <x:row r="11" ht="58" customHeight="1">
      <x:c r="A11" s="20" t="n">
        <x:v>7</x:v>
      </x:c>
      <x:c r="B11" s="20" t="str">
        <x:v>GH-04-0007</x:v>
      </x:c>
      <x:c r="C11" s="19" t="str">
        <x:v>library-outreach-plan</x:v>
      </x:c>
      <x:c r="D11" s="19" t="str">
        <x:v>图书馆推广与外联计划</x:v>
      </x:c>
      <x:c r="E11" s="19" t="str">
        <x:v>围绕目标群体、传播渠道、行动安排和指标制定图书馆外联计划。</x:v>
      </x:c>
      <x:c r="F11" s="19" t="str">
        <x:v>https://github.com/lionelsimai/claude-skills-collection/blob/main/skills/library-outreach-plan/SKILL.md</x:v>
      </x:c>
      <x:c r="G11" s="19" t="str">
        <x:v>lionelsimai/claude-skills-collection</x:v>
      </x:c>
      <x:c r="H11" s="19" t="str">
        <x:v>https://github.com/lionelsimai/claude-skills-collection</x:v>
      </x:c>
      <x:c r="I11" s="19" t="str">
        <x:v>Anthropic Claude Code / 可移植模板</x:v>
      </x:c>
      <x:c r="J11" s="19" t="str">
        <x:v>社区 skill、GitHub 开源仓库</x:v>
      </x:c>
      <x:c r="K11" s="19" t="str">
        <x:v>读者服务、社区外联、活动传播、评估</x:v>
      </x:c>
      <x:c r="L11" s="19" t="str">
        <x:v>学生、教师、科研人员、图书馆人员</x:v>
      </x:c>
      <x:c r="M11" s="19" t="str">
        <x:v>馆藏发现、开放资源检索、知识库建设与服务规划</x:v>
      </x:c>
      <x:c r="N11" s="21" t="str">
        <x:v>B</x:v>
      </x:c>
      <x:c r="O11" s="19" t="str">
        <x:v>将示例端点、认证方式和输出字段映射到本校图书馆系统；先以只读方式接入。</x:v>
      </x:c>
      <x:c r="P11" s="19" t="str">
        <x:v>网络；部分功能需要 API 密钥、机构订阅或本地脚本</x:v>
      </x:c>
      <x:c r="Q11" s="19" t="str">
        <x:v>外部接口、馆藏覆盖和访问政策会变化；不得绕过权限或版权限制。</x:v>
      </x:c>
      <x:c r="R11" s="21" t="str">
        <x:v>说明已核验</x:v>
      </x:c>
      <x:c r="S11" s="21" t="str">
        <x:v>中</x:v>
      </x:c>
      <x:c r="T11" s="20" t="n">
        <x:v>20</x:v>
      </x:c>
      <x:c r="U11" s="20" t="str">
        <x:v>2026-02-08</x:v>
      </x:c>
      <x:c r="V11" s="18" t="str">
        <x:v>MIT</x:v>
      </x:c>
    </x:row>
    <x:row r="12" ht="58" customHeight="1">
      <x:c r="A12" s="20" t="n">
        <x:v>8</x:v>
      </x:c>
      <x:c r="B12" s="20" t="str">
        <x:v>GH-04-0008</x:v>
      </x:c>
      <x:c r="C12" s="19" t="str">
        <x:v>library-program-design</x:v>
      </x:c>
      <x:c r="D12" s="19" t="str">
        <x:v>图书馆项目与活动设计</x:v>
      </x:c>
      <x:c r="E12" s="19" t="str">
        <x:v>把用户需求转化为图书馆项目方案、资源安排、行动计划和成效指标。</x:v>
      </x:c>
      <x:c r="F12" s="19" t="str">
        <x:v>https://github.com/lionelsimai/claude-skills-collection/blob/main/skills/library-program-design/SKILL.md</x:v>
      </x:c>
      <x:c r="G12" s="19" t="str">
        <x:v>lionelsimai/claude-skills-collection</x:v>
      </x:c>
      <x:c r="H12" s="19" t="str">
        <x:v>https://github.com/lionelsimai/claude-skills-collection</x:v>
      </x:c>
      <x:c r="I12" s="19" t="str">
        <x:v>Anthropic Claude Code / 可移植模板</x:v>
      </x:c>
      <x:c r="J12" s="19" t="str">
        <x:v>社区 skill、GitHub 开源仓库</x:v>
      </x:c>
      <x:c r="K12" s="19" t="str">
        <x:v>用户需求、项目设计、资源配置、评估</x:v>
      </x:c>
      <x:c r="L12" s="19" t="str">
        <x:v>学生、教师、科研人员、图书馆人员</x:v>
      </x:c>
      <x:c r="M12" s="19" t="str">
        <x:v>馆藏发现、开放资源检索、知识库建设与服务规划</x:v>
      </x:c>
      <x:c r="N12" s="21" t="str">
        <x:v>B</x:v>
      </x:c>
      <x:c r="O12" s="19" t="str">
        <x:v>将示例端点、认证方式和输出字段映射到本校图书馆系统；先以只读方式接入。</x:v>
      </x:c>
      <x:c r="P12" s="19" t="str">
        <x:v>网络；部分功能需要 API 密钥、机构订阅或本地脚本</x:v>
      </x:c>
      <x:c r="Q12" s="19" t="str">
        <x:v>外部接口、馆藏覆盖和访问政策会变化；不得绕过权限或版权限制。</x:v>
      </x:c>
      <x:c r="R12" s="21" t="str">
        <x:v>说明已核验</x:v>
      </x:c>
      <x:c r="S12" s="21" t="str">
        <x:v>中</x:v>
      </x:c>
      <x:c r="T12" s="20" t="n">
        <x:v>20</x:v>
      </x:c>
      <x:c r="U12" s="20" t="str">
        <x:v>2026-02-08</x:v>
      </x:c>
      <x:c r="V12" s="18" t="str">
        <x:v>MIT</x:v>
      </x:c>
    </x:row>
    <x:row r="13" ht="58" customHeight="1">
      <x:c r="A13" s="20" t="n">
        <x:v>9</x:v>
      </x:c>
      <x:c r="B13" s="20" t="str">
        <x:v>GH-04-0009</x:v>
      </x:c>
      <x:c r="C13" s="19" t="str">
        <x:v>library-technology-plan</x:v>
      </x:c>
      <x:c r="D13" s="19" t="str">
        <x:v>图书馆技术建设规划</x:v>
      </x:c>
      <x:c r="E13" s="19" t="str">
        <x:v>规划图书馆技术现状评估、目标架构、实施步骤和质量检查。</x:v>
      </x:c>
      <x:c r="F13" s="19" t="str">
        <x:v>https://github.com/lionelsimai/claude-skills-collection/blob/main/skills/library-technology-plan/SKILL.md</x:v>
      </x:c>
      <x:c r="G13" s="19" t="str">
        <x:v>lionelsimai/claude-skills-collection</x:v>
      </x:c>
      <x:c r="H13" s="19" t="str">
        <x:v>https://github.com/lionelsimai/claude-skills-collection</x:v>
      </x:c>
      <x:c r="I13" s="19" t="str">
        <x:v>Anthropic Claude Code / 可移植模板</x:v>
      </x:c>
      <x:c r="J13" s="19" t="str">
        <x:v>社区 skill、GitHub 开源仓库</x:v>
      </x:c>
      <x:c r="K13" s="19" t="str">
        <x:v>图书馆系统、技术路线、治理、实施</x:v>
      </x:c>
      <x:c r="L13" s="19" t="str">
        <x:v>学生、教师、科研人员、图书馆人员</x:v>
      </x:c>
      <x:c r="M13" s="19" t="str">
        <x:v>馆藏发现、开放资源检索、知识库建设与服务规划</x:v>
      </x:c>
      <x:c r="N13" s="21" t="str">
        <x:v>B</x:v>
      </x:c>
      <x:c r="O13" s="19" t="str">
        <x:v>将示例端点、认证方式和输出字段映射到本校图书馆系统；先以只读方式接入。</x:v>
      </x:c>
      <x:c r="P13" s="19" t="str">
        <x:v>网络；部分功能需要 API 密钥、机构订阅或本地脚本</x:v>
      </x:c>
      <x:c r="Q13" s="19" t="str">
        <x:v>外部接口、馆藏覆盖和访问政策会变化；不得绕过权限或版权限制。</x:v>
      </x:c>
      <x:c r="R13" s="21" t="str">
        <x:v>说明已核验</x:v>
      </x:c>
      <x:c r="S13" s="21" t="str">
        <x:v>中</x:v>
      </x:c>
      <x:c r="T13" s="20" t="n">
        <x:v>20</x:v>
      </x:c>
      <x:c r="U13" s="20" t="str">
        <x:v>2026-02-08</x:v>
      </x:c>
      <x:c r="V13" s="18" t="str">
        <x:v>MIT</x:v>
      </x:c>
    </x:row>
    <x:row r="14" ht="58" customHeight="1">
      <x:c r="A14" s="20" t="n">
        <x:v>10</x:v>
      </x:c>
      <x:c r="B14" s="20" t="str">
        <x:v>GH-04-0010</x:v>
      </x:c>
      <x:c r="C14" s="19" t="str">
        <x:v>media-literacy-program</x:v>
      </x:c>
      <x:c r="D14" s="19" t="str">
        <x:v>媒体素养教育项目</x:v>
      </x:c>
      <x:c r="E14" s="19" t="str">
        <x:v>设计面向学习者的媒体素养项目，覆盖目标、核心内容、活动和评价指标。</x:v>
      </x:c>
      <x:c r="F14" s="19" t="str">
        <x:v>https://github.com/lionelsimai/claude-skills-collection/blob/main/skills/media-literacy-program/SKILL.md</x:v>
      </x:c>
      <x:c r="G14" s="19" t="str">
        <x:v>lionelsimai/claude-skills-collection</x:v>
      </x:c>
      <x:c r="H14" s="19" t="str">
        <x:v>https://github.com/lionelsimai/claude-skills-collection</x:v>
      </x:c>
      <x:c r="I14" s="19" t="str">
        <x:v>Anthropic Claude Code / 可移植模板</x:v>
      </x:c>
      <x:c r="J14" s="19" t="str">
        <x:v>社区 skill、GitHub 开源仓库</x:v>
      </x:c>
      <x:c r="K14" s="19" t="str">
        <x:v>媒体素养、课程设计、学习活动、评价</x:v>
      </x:c>
      <x:c r="L14" s="19" t="str">
        <x:v>学生、教师、图书馆人员</x:v>
      </x:c>
      <x:c r="M14" s="19" t="str">
        <x:v>信息素养课程、读者培训、图书馆项目与服务设计</x:v>
      </x:c>
      <x:c r="N14" s="21" t="str">
        <x:v>B</x:v>
      </x:c>
      <x:c r="O14" s="19" t="str">
        <x:v>可作为课程或服务模板，需补充本校资源、制度、学习目标和评价量规。</x:v>
      </x:c>
      <x:c r="P14" s="19" t="str">
        <x:v>无硬性运行依赖；实施时需要本校资源与受众信息</x:v>
      </x:c>
      <x:c r="Q14" s="19" t="str">
        <x:v>内容较通用或较轻量，不能替代本校政策、专业馆员判断和学习成效评估。</x:v>
      </x:c>
      <x:c r="R14" s="21" t="str">
        <x:v>说明已核验</x:v>
      </x:c>
      <x:c r="S14" s="21" t="str">
        <x:v>中</x:v>
      </x:c>
      <x:c r="T14" s="20" t="n">
        <x:v>20</x:v>
      </x:c>
      <x:c r="U14" s="20" t="str">
        <x:v>2026-02-08</x:v>
      </x:c>
      <x:c r="V14" s="18" t="str">
        <x:v>MIT</x:v>
      </x:c>
    </x:row>
    <x:row r="15" ht="58" customHeight="1">
      <x:c r="A15" s="20" t="n">
        <x:v>11</x:v>
      </x:c>
      <x:c r="B15" s="20" t="str">
        <x:v>GH-04-0011</x:v>
      </x:c>
      <x:c r="C15" s="19" t="str">
        <x:v>fact-checking-protocol</x:v>
      </x:c>
      <x:c r="D15" s="19" t="str">
        <x:v>事实核查教学协议</x:v>
      </x:c>
      <x:c r="E15" s="19" t="str">
        <x:v>提供轻量事实核查流程模板，用于定义取证步骤、输出结构和质量清单。</x:v>
      </x:c>
      <x:c r="F15" s="19" t="str">
        <x:v>https://github.com/lionelsimai/claude-skills-collection/blob/main/skills/fact-checking-protocol/SKILL.md</x:v>
      </x:c>
      <x:c r="G15" s="19" t="str">
        <x:v>lionelsimai/claude-skills-collection</x:v>
      </x:c>
      <x:c r="H15" s="19" t="str">
        <x:v>https://github.com/lionelsimai/claude-skills-collection</x:v>
      </x:c>
      <x:c r="I15" s="19" t="str">
        <x:v>Anthropic Claude Code / 可移植模板</x:v>
      </x:c>
      <x:c r="J15" s="19" t="str">
        <x:v>社区 skill、GitHub 开源仓库</x:v>
      </x:c>
      <x:c r="K15" s="19" t="str">
        <x:v>事实核查、证据链、来源交叉验证、记录</x:v>
      </x:c>
      <x:c r="L15" s="19" t="str">
        <x:v>学生、教师、科研人员、图书馆与宣传人员</x:v>
      </x:c>
      <x:c r="M15" s="19" t="str">
        <x:v>课程信息辨识、新闻与网络主张核验、来源教育</x:v>
      </x:c>
      <x:c r="N15" s="21" t="str">
        <x:v>B</x:v>
      </x:c>
      <x:c r="O15" s="19" t="str">
        <x:v>保留证据分级和人工裁决，把搜索工具替换为本项目可用的浏览与数据库接口。</x:v>
      </x:c>
      <x:c r="P15" s="19" t="str">
        <x:v>网络检索；必要时使用网页归档或反向图像检索</x:v>
      </x:c>
      <x:c r="Q15" s="19" t="str">
        <x:v>检索不到不等于主张为假；恶意网页内容、时效性和来源偏差需单独处理。</x:v>
      </x:c>
      <x:c r="R15" s="21" t="str">
        <x:v>说明已核验</x:v>
      </x:c>
      <x:c r="S15" s="21" t="str">
        <x:v>中</x:v>
      </x:c>
      <x:c r="T15" s="20" t="n">
        <x:v>20</x:v>
      </x:c>
      <x:c r="U15" s="20" t="str">
        <x:v>2026-02-08</x:v>
      </x:c>
      <x:c r="V15" s="18" t="str">
        <x:v>MIT</x:v>
      </x:c>
    </x:row>
    <x:row r="16" ht="58" customHeight="1">
      <x:c r="A16" s="20" t="n">
        <x:v>12</x:v>
      </x:c>
      <x:c r="B16" s="20" t="str">
        <x:v>GH-04-0012</x:v>
      </x:c>
      <x:c r="C16" s="19" t="str">
        <x:v>data-literacy-program</x:v>
      </x:c>
      <x:c r="D16" s="19" t="str">
        <x:v>数据素养教育项目</x:v>
      </x:c>
      <x:c r="E16" s="19" t="str">
        <x:v>设计数据获取、理解、解释与沟通能力培养项目及其评估指标。</x:v>
      </x:c>
      <x:c r="F16" s="19" t="str">
        <x:v>https://github.com/lionelsimai/claude-skills-collection/blob/main/skills/data-literacy-program/SKILL.md</x:v>
      </x:c>
      <x:c r="G16" s="19" t="str">
        <x:v>lionelsimai/claude-skills-collection</x:v>
      </x:c>
      <x:c r="H16" s="19" t="str">
        <x:v>https://github.com/lionelsimai/claude-skills-collection</x:v>
      </x:c>
      <x:c r="I16" s="19" t="str">
        <x:v>Anthropic Claude Code / 可移植模板</x:v>
      </x:c>
      <x:c r="J16" s="19" t="str">
        <x:v>社区 skill、GitHub 开源仓库</x:v>
      </x:c>
      <x:c r="K16" s="19" t="str">
        <x:v>数据素养、课程设计、数据解读、评价</x:v>
      </x:c>
      <x:c r="L16" s="19" t="str">
        <x:v>学生、教师、图书馆人员</x:v>
      </x:c>
      <x:c r="M16" s="19" t="str">
        <x:v>信息素养课程、读者培训、图书馆项目与服务设计</x:v>
      </x:c>
      <x:c r="N16" s="21" t="str">
        <x:v>B</x:v>
      </x:c>
      <x:c r="O16" s="19" t="str">
        <x:v>可作为课程或服务模板，需补充本校资源、制度、学习目标和评价量规。</x:v>
      </x:c>
      <x:c r="P16" s="19" t="str">
        <x:v>无硬性运行依赖；实施时需要本校资源与受众信息</x:v>
      </x:c>
      <x:c r="Q16" s="19" t="str">
        <x:v>内容较通用或较轻量，不能替代本校政策、专业馆员判断和学习成效评估。</x:v>
      </x:c>
      <x:c r="R16" s="21" t="str">
        <x:v>说明已核验</x:v>
      </x:c>
      <x:c r="S16" s="21" t="str">
        <x:v>中</x:v>
      </x:c>
      <x:c r="T16" s="20" t="n">
        <x:v>20</x:v>
      </x:c>
      <x:c r="U16" s="20" t="str">
        <x:v>2026-02-08</x:v>
      </x:c>
      <x:c r="V16" s="18" t="str">
        <x:v>MIT</x:v>
      </x:c>
    </x:row>
    <x:row r="17" ht="58" customHeight="1">
      <x:c r="A17" s="20" t="n">
        <x:v>13</x:v>
      </x:c>
      <x:c r="B17" s="20" t="str">
        <x:v>GH-04-0013</x:v>
      </x:c>
      <x:c r="C17" s="19" t="str">
        <x:v>source-management</x:v>
      </x:c>
      <x:c r="D17" s="19" t="str">
        <x:v>信息来源管理流程</x:v>
      </x:c>
      <x:c r="E17" s="19" t="str">
        <x:v>为来源采集、分类、记录、更新和复核建立轻量管理流程。</x:v>
      </x:c>
      <x:c r="F17" s="19" t="str">
        <x:v>https://github.com/lionelsimai/claude-skills-collection/blob/main/skills/source-management/SKILL.md</x:v>
      </x:c>
      <x:c r="G17" s="19" t="str">
        <x:v>lionelsimai/claude-skills-collection</x:v>
      </x:c>
      <x:c r="H17" s="19" t="str">
        <x:v>https://github.com/lionelsimai/claude-skills-collection</x:v>
      </x:c>
      <x:c r="I17" s="19" t="str">
        <x:v>Anthropic Claude Code / 可移植模板</x:v>
      </x:c>
      <x:c r="J17" s="19" t="str">
        <x:v>社区 skill、GitHub 开源仓库</x:v>
      </x:c>
      <x:c r="K17" s="19" t="str">
        <x:v>来源台账、标签、版本、可追溯性</x:v>
      </x:c>
      <x:c r="L17" s="19" t="str">
        <x:v>学生、教师、图书馆人员</x:v>
      </x:c>
      <x:c r="M17" s="19" t="str">
        <x:v>信息素养课程、读者培训、图书馆项目与服务设计</x:v>
      </x:c>
      <x:c r="N17" s="21" t="str">
        <x:v>B</x:v>
      </x:c>
      <x:c r="O17" s="19" t="str">
        <x:v>可作为课程或服务模板，需补充本校资源、制度、学习目标和评价量规。</x:v>
      </x:c>
      <x:c r="P17" s="19" t="str">
        <x:v>无硬性运行依赖；实施时需要本校资源与受众信息</x:v>
      </x:c>
      <x:c r="Q17" s="19" t="str">
        <x:v>内容较通用或较轻量，不能替代本校政策、专业馆员判断和学习成效评估。</x:v>
      </x:c>
      <x:c r="R17" s="21" t="str">
        <x:v>说明已核验</x:v>
      </x:c>
      <x:c r="S17" s="21" t="str">
        <x:v>中</x:v>
      </x:c>
      <x:c r="T17" s="20" t="n">
        <x:v>20</x:v>
      </x:c>
      <x:c r="U17" s="20" t="str">
        <x:v>2026-02-08</x:v>
      </x:c>
      <x:c r="V17" s="18" t="str">
        <x:v>MIT</x:v>
      </x:c>
    </x:row>
    <x:row r="18" ht="58" customHeight="1">
      <x:c r="A18" s="20" t="n">
        <x:v>14</x:v>
      </x:c>
      <x:c r="B18" s="20" t="str">
        <x:v>GH-04-0014</x:v>
      </x:c>
      <x:c r="C18" s="19" t="str">
        <x:v>fact-check-x-unified</x:v>
      </x:c>
      <x:c r="D18" s="19" t="str">
        <x:v>可复现事实核查统一入口</x:v>
      </x:c>
      <x:c r="E18" s="19" t="str">
        <x:v>编排证据优先的主张拆解、并行取证、答案比较、裁决与可复现报告流程。</x:v>
      </x:c>
      <x:c r="F18" s="19" t="str">
        <x:v>https://github.com/ASI2030/Fact-Check-X/blob/main/skills/fact-check-x-unified/SKILL.md</x:v>
      </x:c>
      <x:c r="G18" s="19" t="str">
        <x:v>ASI2030/Fact-Check-X</x:v>
      </x:c>
      <x:c r="H18" s="19" t="str">
        <x:v>https://github.com/ASI2030/Fact-Check-X</x:v>
      </x:c>
      <x:c r="I18" s="19" t="str">
        <x:v>Agent Skills（跨生态）</x:v>
      </x:c>
      <x:c r="J18" s="19" t="str">
        <x:v>社区 skill、GitHub 开源仓库</x:v>
      </x:c>
      <x:c r="K18" s="19" t="str">
        <x:v>事实核查、证据优先、答案比较、交付门禁</x:v>
      </x:c>
      <x:c r="L18" s="19" t="str">
        <x:v>学生、教师、科研人员、图书馆与宣传人员</x:v>
      </x:c>
      <x:c r="M18" s="19" t="str">
        <x:v>课程信息辨识、新闻与网络主张核验、来源教育</x:v>
      </x:c>
      <x:c r="N18" s="21" t="str">
        <x:v>B</x:v>
      </x:c>
      <x:c r="O18" s="19" t="str">
        <x:v>保留证据分级和人工裁决，把搜索工具替换为本项目可用的浏览与数据库接口。</x:v>
      </x:c>
      <x:c r="P18" s="19" t="str">
        <x:v>网络检索；必要时使用网页归档或反向图像检索</x:v>
      </x:c>
      <x:c r="Q18" s="19" t="str">
        <x:v>检索不到不等于主张为假；恶意网页内容、时效性和来源偏差需单独处理。</x:v>
      </x:c>
      <x:c r="R18" s="21" t="str">
        <x:v>二级包内容验证</x:v>
      </x:c>
      <x:c r="S18" s="21" t="str">
        <x:v>高</x:v>
      </x:c>
      <x:c r="T18" s="20" t="n">
        <x:v>0</x:v>
      </x:c>
      <x:c r="U18" s="20" t="str">
        <x:v>2026-07-30</x:v>
      </x:c>
      <x:c r="V18" s="18" t="str">
        <x:v>Apache-2.0</x:v>
      </x:c>
    </x:row>
    <x:row r="19" ht="58" customHeight="1">
      <x:c r="A19" s="20" t="n">
        <x:v>15</x:v>
      </x:c>
      <x:c r="B19" s="20" t="str">
        <x:v>GH-04-0015</x:v>
      </x:c>
      <x:c r="C19" s="19" t="str">
        <x:v>fact-check-x-authoritative-verify</x:v>
      </x:c>
      <x:c r="D19" s="19" t="str">
        <x:v>权威来源证据核验</x:v>
      </x:c>
      <x:c r="E19" s="19" t="str">
        <x:v>针对单一知识点从权威来源取证，由当前智能体裁决并形成可审计报告。</x:v>
      </x:c>
      <x:c r="F19" s="19" t="str">
        <x:v>https://github.com/ASI2030/Fact-Check-X/blob/main/skills/fact-check-x-authoritative-verify/SKILL.md</x:v>
      </x:c>
      <x:c r="G19" s="19" t="str">
        <x:v>ASI2030/Fact-Check-X</x:v>
      </x:c>
      <x:c r="H19" s="19" t="str">
        <x:v>https://github.com/ASI2030/Fact-Check-X</x:v>
      </x:c>
      <x:c r="I19" s="19" t="str">
        <x:v>Agent Skills（跨生态）</x:v>
      </x:c>
      <x:c r="J19" s="19" t="str">
        <x:v>社区 skill、GitHub 开源仓库</x:v>
      </x:c>
      <x:c r="K19" s="19" t="str">
        <x:v>权威证据、并行取证、主张裁决、审计</x:v>
      </x:c>
      <x:c r="L19" s="19" t="str">
        <x:v>学生、教师、科研人员、图书馆与宣传人员</x:v>
      </x:c>
      <x:c r="M19" s="19" t="str">
        <x:v>课程信息辨识、新闻与网络主张核验、来源教育</x:v>
      </x:c>
      <x:c r="N19" s="21" t="str">
        <x:v>B</x:v>
      </x:c>
      <x:c r="O19" s="19" t="str">
        <x:v>保留证据分级和人工裁决，把搜索工具替换为本项目可用的浏览与数据库接口。</x:v>
      </x:c>
      <x:c r="P19" s="19" t="str">
        <x:v>网络检索；必要时使用网页归档或反向图像检索</x:v>
      </x:c>
      <x:c r="Q19" s="19" t="str">
        <x:v>检索不到不等于主张为假；恶意网页内容、时效性和来源偏差需单独处理。</x:v>
      </x:c>
      <x:c r="R19" s="21" t="str">
        <x:v>二级包内容验证</x:v>
      </x:c>
      <x:c r="S19" s="21" t="str">
        <x:v>中</x:v>
      </x:c>
      <x:c r="T19" s="20" t="n">
        <x:v>0</x:v>
      </x:c>
      <x:c r="U19" s="20" t="str">
        <x:v>2026-07-30</x:v>
      </x:c>
      <x:c r="V19" s="18" t="str">
        <x:v>Apache-2.0</x:v>
      </x:c>
    </x:row>
    <x:row r="20" ht="58" customHeight="1">
      <x:c r="A20" s="20" t="n">
        <x:v>16</x:v>
      </x:c>
      <x:c r="B20" s="20" t="str">
        <x:v>GH-04-0016</x:v>
      </x:c>
      <x:c r="C20" s="19" t="str">
        <x:v>fact-checker</x:v>
      </x:c>
      <x:c r="D20" s="19" t="str">
        <x:v>系统化事实核查与提示注入防护</x:v>
      </x:c>
      <x:c r="E20" s="19" t="str">
        <x:v>按专业核查协议完成主张拆分、证据搜索、来源分级和结论表达，并处理恶意网页指令。</x:v>
      </x:c>
      <x:c r="F20" s="19" t="str">
        <x:v>https://github.com/SamaritanOC/fact-checker/blob/main/SKILL.md</x:v>
      </x:c>
      <x:c r="G20" s="19" t="str">
        <x:v>SamaritanOC/fact-checker</x:v>
      </x:c>
      <x:c r="H20" s="19" t="str">
        <x:v>https://github.com/SamaritanOC/fact-checker</x:v>
      </x:c>
      <x:c r="I20" s="19" t="str">
        <x:v>Agent Skills（跨生态）</x:v>
      </x:c>
      <x:c r="J20" s="19" t="str">
        <x:v>社区 skill、GitHub 公开仓库（许可证待核）</x:v>
      </x:c>
      <x:c r="K20" s="19" t="str">
        <x:v>事实核查、来源分级、提示注入、安全边界</x:v>
      </x:c>
      <x:c r="L20" s="19" t="str">
        <x:v>学生、教师、科研人员、图书馆与宣传人员</x:v>
      </x:c>
      <x:c r="M20" s="19" t="str">
        <x:v>课程信息辨识、新闻与网络主张核验、来源教育</x:v>
      </x:c>
      <x:c r="N20" s="21" t="str">
        <x:v>B</x:v>
      </x:c>
      <x:c r="O20" s="19" t="str">
        <x:v>保留证据分级和人工裁决，把搜索工具替换为本项目可用的浏览与数据库接口。</x:v>
      </x:c>
      <x:c r="P20" s="19" t="str">
        <x:v>网络检索；必要时使用网页归档或反向图像检索</x:v>
      </x:c>
      <x:c r="Q20" s="19" t="str">
        <x:v>检索不到不等于主张为假；恶意网页内容、时效性和来源偏差需单独处理。 仓库许可证未明确或无法由 GitHub 自动识别，采用前需单独核验。</x:v>
      </x:c>
      <x:c r="R20" s="21" t="str">
        <x:v>二级包内容验证</x:v>
      </x:c>
      <x:c r="S20" s="21" t="str">
        <x:v>中</x:v>
      </x:c>
      <x:c r="T20" s="20" t="n">
        <x:v>0</x:v>
      </x:c>
      <x:c r="U20" s="20" t="str">
        <x:v>2026-05-18</x:v>
      </x:c>
      <x:c r="V20" s="18" t="str">
        <x:v>未明确</x:v>
      </x:c>
    </x:row>
    <x:row r="21" ht="58" customHeight="1">
      <x:c r="A21" s="20" t="n">
        <x:v>17</x:v>
      </x:c>
      <x:c r="B21" s="20" t="str">
        <x:v>GH-04-0017</x:v>
      </x:c>
      <x:c r="C21" s="19" t="str">
        <x:v>institutional-repository-guide</x:v>
      </x:c>
      <x:c r="D21" s="19" t="str">
        <x:v>机构知识库发现与使用</x:v>
      </x:c>
      <x:c r="E21" s="19" t="str">
        <x:v>识别和检索机构知识库，理解常见平台，并通过 OAI-PMH 发现开放资源。</x:v>
      </x:c>
      <x:c r="F21" s="19" t="str">
        <x:v>https://github.com/wentorai/research-plugins/blob/main/skills/literature/fulltext/institutional-repository-guide/SKILL.md</x:v>
      </x:c>
      <x:c r="G21" s="19" t="str">
        <x:v>wentorai/research-plugins</x:v>
      </x:c>
      <x:c r="H21" s="19" t="str">
        <x:v>https://github.com/wentorai/research-plugins</x:v>
      </x:c>
      <x:c r="I21" s="19" t="str">
        <x:v>Research-Claw / 可移植工作流</x:v>
      </x:c>
      <x:c r="J21" s="19" t="str">
        <x:v>社区 skill、GitHub 开源仓库</x:v>
      </x:c>
      <x:c r="K21" s="19" t="str">
        <x:v>机构知识库、DSpace、OAI-PMH、开放获取</x:v>
      </x:c>
      <x:c r="L21" s="19" t="str">
        <x:v>学生、教师、科研人员、图书馆人员</x:v>
      </x:c>
      <x:c r="M21" s="19" t="str">
        <x:v>馆藏发现、开放资源检索、知识库建设与服务规划</x:v>
      </x:c>
      <x:c r="N21" s="21" t="str">
        <x:v>B</x:v>
      </x:c>
      <x:c r="O21" s="19" t="str">
        <x:v>将示例端点、认证方式和输出字段映射到本校图书馆系统；先以只读方式接入。</x:v>
      </x:c>
      <x:c r="P21" s="19" t="str">
        <x:v>网络；部分功能需要 API 密钥、机构订阅或本地脚本</x:v>
      </x:c>
      <x:c r="Q21" s="19" t="str">
        <x:v>外部接口、馆藏覆盖和访问政策会变化；不得绕过权限或版权限制。</x:v>
      </x:c>
      <x:c r="R21" s="21" t="str">
        <x:v>说明已核验</x:v>
      </x:c>
      <x:c r="S21" s="21" t="str">
        <x:v>高</x:v>
      </x:c>
      <x:c r="T21" s="20" t="n">
        <x:v>270</x:v>
      </x:c>
      <x:c r="U21" s="20" t="str">
        <x:v>2026-06-19</x:v>
      </x:c>
      <x:c r="V21" s="18" t="str">
        <x:v>MIT</x:v>
      </x:c>
    </x:row>
    <x:row r="22" ht="58" customHeight="1">
      <x:c r="A22" s="20" t="n">
        <x:v>18</x:v>
      </x:c>
      <x:c r="B22" s="20" t="str">
        <x:v>GH-04-0018</x:v>
      </x:c>
      <x:c r="C22" s="19" t="str">
        <x:v>worldcat-search-api</x:v>
      </x:c>
      <x:c r="D22" s="19" t="str">
        <x:v>WorldCat 联合目录检索</x:v>
      </x:c>
      <x:c r="E22" s="19" t="str">
        <x:v>通过 WorldCat Search API 检索全球图书馆馆藏和书目元数据。</x:v>
      </x:c>
      <x:c r="F22" s="19" t="str">
        <x:v>https://github.com/wentorai/research-plugins/blob/main/skills/literature/search/worldcat-search-api/SKILL.md</x:v>
      </x:c>
      <x:c r="G22" s="19" t="str">
        <x:v>wentorai/research-plugins</x:v>
      </x:c>
      <x:c r="H22" s="19" t="str">
        <x:v>https://github.com/wentorai/research-plugins</x:v>
      </x:c>
      <x:c r="I22" s="19" t="str">
        <x:v>Research-Claw / 可移植工作流</x:v>
      </x:c>
      <x:c r="J22" s="19" t="str">
        <x:v>社区 skill、GitHub 开源仓库</x:v>
      </x:c>
      <x:c r="K22" s="19" t="str">
        <x:v>WorldCat、馆藏发现、书目元数据、API</x:v>
      </x:c>
      <x:c r="L22" s="19" t="str">
        <x:v>学生、教师、科研人员、图书馆人员</x:v>
      </x:c>
      <x:c r="M22" s="19" t="str">
        <x:v>馆藏发现、开放资源检索、知识库建设与服务规划</x:v>
      </x:c>
      <x:c r="N22" s="21" t="str">
        <x:v>B</x:v>
      </x:c>
      <x:c r="O22" s="19" t="str">
        <x:v>将示例端点、认证方式和输出字段映射到本校图书馆系统；先以只读方式接入。</x:v>
      </x:c>
      <x:c r="P22" s="19" t="str">
        <x:v>网络；部分功能需要 API 密钥、机构订阅或本地脚本</x:v>
      </x:c>
      <x:c r="Q22" s="19" t="str">
        <x:v>外部接口、馆藏覆盖和访问政策会变化；不得绕过权限或版权限制。</x:v>
      </x:c>
      <x:c r="R22" s="21" t="str">
        <x:v>说明已核验</x:v>
      </x:c>
      <x:c r="S22" s="21" t="str">
        <x:v>高</x:v>
      </x:c>
      <x:c r="T22" s="20" t="n">
        <x:v>270</x:v>
      </x:c>
      <x:c r="U22" s="20" t="str">
        <x:v>2026-06-19</x:v>
      </x:c>
      <x:c r="V22" s="18" t="str">
        <x:v>MIT</x:v>
      </x:c>
    </x:row>
    <x:row r="23" ht="58" customHeight="1">
      <x:c r="A23" s="20" t="n">
        <x:v>19</x:v>
      </x:c>
      <x:c r="B23" s="20" t="str">
        <x:v>GH-04-0019</x:v>
      </x:c>
      <x:c r="C23" s="19" t="str">
        <x:v>open-science-guide</x:v>
      </x:c>
      <x:c r="D23" s="19" t="str">
        <x:v>开放科学实践指南</x:v>
      </x:c>
      <x:c r="E23" s="19" t="str">
        <x:v>指导预注册、注册报告、开放数据、开放材料和透明研究实践。</x:v>
      </x:c>
      <x:c r="F23" s="19" t="str">
        <x:v>https://github.com/wentorai/research-plugins/blob/main/skills/research/funding/open-science-guide/SKILL.md</x:v>
      </x:c>
      <x:c r="G23" s="19" t="str">
        <x:v>wentorai/research-plugins</x:v>
      </x:c>
      <x:c r="H23" s="19" t="str">
        <x:v>https://github.com/wentorai/research-plugins</x:v>
      </x:c>
      <x:c r="I23" s="19" t="str">
        <x:v>Research-Claw / 可移植工作流</x:v>
      </x:c>
      <x:c r="J23" s="19" t="str">
        <x:v>社区 skill、GitHub 开源仓库</x:v>
      </x:c>
      <x:c r="K23" s="19" t="str">
        <x:v>开放科学、预注册、注册报告、数据共享</x:v>
      </x:c>
      <x:c r="L23" s="19" t="str">
        <x:v>学生、教师、图书馆人员</x:v>
      </x:c>
      <x:c r="M23" s="19" t="str">
        <x:v>信息素养课程、读者培训、图书馆项目与服务设计</x:v>
      </x:c>
      <x:c r="N23" s="21" t="str">
        <x:v>B</x:v>
      </x:c>
      <x:c r="O23" s="19" t="str">
        <x:v>可作为课程或服务模板，需补充本校资源、制度、学习目标和评价量规。</x:v>
      </x:c>
      <x:c r="P23" s="19" t="str">
        <x:v>无硬性运行依赖；实施时需要本校资源与受众信息</x:v>
      </x:c>
      <x:c r="Q23" s="19" t="str">
        <x:v>内容较通用或较轻量，不能替代本校政策、专业馆员判断和学习成效评估。</x:v>
      </x:c>
      <x:c r="R23" s="21" t="str">
        <x:v>说明已核验</x:v>
      </x:c>
      <x:c r="S23" s="21" t="str">
        <x:v>高</x:v>
      </x:c>
      <x:c r="T23" s="20" t="n">
        <x:v>270</x:v>
      </x:c>
      <x:c r="U23" s="20" t="str">
        <x:v>2026-06-19</x:v>
      </x:c>
      <x:c r="V23" s="18" t="str">
        <x:v>MIT</x:v>
      </x:c>
    </x:row>
    <x:row r="24" ht="58" customHeight="1">
      <x:c r="A24" s="20" t="n">
        <x:v>20</x:v>
      </x:c>
      <x:c r="B24" s="20" t="str">
        <x:v>GH-04-0020</x:v>
      </x:c>
      <x:c r="C24" s="19" t="str">
        <x:v>repository-harvesting-guide</x:v>
      </x:c>
      <x:c r="D24" s="19" t="str">
        <x:v>开放知识库元数据采集</x:v>
      </x:c>
      <x:c r="E24" s="19" t="str">
        <x:v>说明 OAI-PMH 六类请求、选择性与增量采集，并给出 Python 采集工作流。</x:v>
      </x:c>
      <x:c r="F24" s="19" t="str">
        <x:v>https://github.com/wentorai/research-plugins/blob/main/skills/tools/scraping/repository-harvesting-guide/SKILL.md</x:v>
      </x:c>
      <x:c r="G24" s="19" t="str">
        <x:v>wentorai/research-plugins</x:v>
      </x:c>
      <x:c r="H24" s="19" t="str">
        <x:v>https://github.com/wentorai/research-plugins</x:v>
      </x:c>
      <x:c r="I24" s="19" t="str">
        <x:v>Research-Claw / 可移植工作流</x:v>
      </x:c>
      <x:c r="J24" s="19" t="str">
        <x:v>社区 skill、GitHub 开源仓库</x:v>
      </x:c>
      <x:c r="K24" s="19" t="str">
        <x:v>OAI-PMH、元数据采集、增量同步、Python</x:v>
      </x:c>
      <x:c r="L24" s="19" t="str">
        <x:v>学生、教师、科研人员、图书馆人员</x:v>
      </x:c>
      <x:c r="M24" s="19" t="str">
        <x:v>馆藏发现、开放资源检索、知识库建设与服务规划</x:v>
      </x:c>
      <x:c r="N24" s="21" t="str">
        <x:v>B</x:v>
      </x:c>
      <x:c r="O24" s="19" t="str">
        <x:v>将示例端点、认证方式和输出字段映射到本校图书馆系统；先以只读方式接入。</x:v>
      </x:c>
      <x:c r="P24" s="19" t="str">
        <x:v>网络；部分功能需要 API 密钥、机构订阅或本地脚本</x:v>
      </x:c>
      <x:c r="Q24" s="19" t="str">
        <x:v>外部接口、馆藏覆盖和访问政策会变化；不得绕过权限或版权限制。</x:v>
      </x:c>
      <x:c r="R24" s="21" t="str">
        <x:v>说明已核验</x:v>
      </x:c>
      <x:c r="S24" s="21" t="str">
        <x:v>高</x:v>
      </x:c>
      <x:c r="T24" s="20" t="n">
        <x:v>270</x:v>
      </x:c>
      <x:c r="U24" s="20" t="str">
        <x:v>2026-06-19</x:v>
      </x:c>
      <x:c r="V24" s="18" t="str">
        <x:v>MIT</x:v>
      </x:c>
    </x:row>
    <x:row r="25" ht="58" customHeight="1">
      <x:c r="A25" s="20" t="n">
        <x:v>21</x:v>
      </x:c>
      <x:c r="B25" s="20" t="str">
        <x:v>GH-04-0021</x:v>
      </x:c>
      <x:c r="C25" s="19" t="str">
        <x:v>figshare-api</x:v>
      </x:c>
      <x:c r="D25" s="19" t="str">
        <x:v>Figshare 科研资源管理</x:v>
      </x:c>
      <x:c r="E25" s="19" t="str">
        <x:v>使用 Figshare API 检索、读取和管理公开研究数据集及文件元数据。</x:v>
      </x:c>
      <x:c r="F25" s="19" t="str">
        <x:v>https://github.com/wentorai/research-plugins/blob/main/skills/research/funding/figshare-api/SKILL.md</x:v>
      </x:c>
      <x:c r="G25" s="19" t="str">
        <x:v>wentorai/research-plugins</x:v>
      </x:c>
      <x:c r="H25" s="19" t="str">
        <x:v>https://github.com/wentorai/research-plugins</x:v>
      </x:c>
      <x:c r="I25" s="19" t="str">
        <x:v>Research-Claw / 可移植工作流</x:v>
      </x:c>
      <x:c r="J25" s="19" t="str">
        <x:v>社区 skill、GitHub 开源仓库</x:v>
      </x:c>
      <x:c r="K25" s="19" t="str">
        <x:v>Figshare、数据集、研究对象、API</x:v>
      </x:c>
      <x:c r="L25" s="19" t="str">
        <x:v>学生、教师、科研人员、图书馆人员</x:v>
      </x:c>
      <x:c r="M25" s="19" t="str">
        <x:v>馆藏发现、开放资源检索、知识库建设与服务规划</x:v>
      </x:c>
      <x:c r="N25" s="21" t="str">
        <x:v>B</x:v>
      </x:c>
      <x:c r="O25" s="19" t="str">
        <x:v>将示例端点、认证方式和输出字段映射到本校图书馆系统；先以只读方式接入。</x:v>
      </x:c>
      <x:c r="P25" s="19" t="str">
        <x:v>网络；部分功能需要 API 密钥、机构订阅或本地脚本</x:v>
      </x:c>
      <x:c r="Q25" s="19" t="str">
        <x:v>外部接口、馆藏覆盖和访问政策会变化；不得绕过权限或版权限制。</x:v>
      </x:c>
      <x:c r="R25" s="21" t="str">
        <x:v>说明已核验</x:v>
      </x:c>
      <x:c r="S25" s="21" t="str">
        <x:v>中</x:v>
      </x:c>
      <x:c r="T25" s="20" t="n">
        <x:v>270</x:v>
      </x:c>
      <x:c r="U25" s="20" t="str">
        <x:v>2026-06-19</x:v>
      </x:c>
      <x:c r="V25" s="18" t="str">
        <x:v>MIT</x:v>
      </x:c>
    </x:row>
    <x:row r="26" ht="58" customHeight="1">
      <x:c r="A26" s="20" t="n">
        <x:v>22</x:v>
      </x:c>
      <x:c r="B26" s="20" t="str">
        <x:v>GH-04-0022</x:v>
      </x:c>
      <x:c r="C26" s="19" t="str">
        <x:v>pmc-oai-api</x:v>
      </x:c>
      <x:c r="D26" s="19" t="str">
        <x:v>PMC 开放文献元数据采集</x:v>
      </x:c>
      <x:c r="E26" s="19" t="str">
        <x:v>通过 PMC-OAI 接口批量获取开放论文记录、元数据及可用全文入口。</x:v>
      </x:c>
      <x:c r="F26" s="19" t="str">
        <x:v>https://github.com/wentorai/research-plugins/blob/main/skills/literature/fulltext/pmc-oai-api/SKILL.md</x:v>
      </x:c>
      <x:c r="G26" s="19" t="str">
        <x:v>wentorai/research-plugins</x:v>
      </x:c>
      <x:c r="H26" s="19" t="str">
        <x:v>https://github.com/wentorai/research-plugins</x:v>
      </x:c>
      <x:c r="I26" s="19" t="str">
        <x:v>Research-Claw / 可移植工作流</x:v>
      </x:c>
      <x:c r="J26" s="19" t="str">
        <x:v>社区 skill、GitHub 开源仓库</x:v>
      </x:c>
      <x:c r="K26" s="19" t="str">
        <x:v>PubMed Central、OAI-PMH、全文、元数据</x:v>
      </x:c>
      <x:c r="L26" s="19" t="str">
        <x:v>学生、教师、科研人员、图书馆人员</x:v>
      </x:c>
      <x:c r="M26" s="19" t="str">
        <x:v>馆藏发现、开放资源检索、知识库建设与服务规划</x:v>
      </x:c>
      <x:c r="N26" s="21" t="str">
        <x:v>B</x:v>
      </x:c>
      <x:c r="O26" s="19" t="str">
        <x:v>将示例端点、认证方式和输出字段映射到本校图书馆系统；先以只读方式接入。</x:v>
      </x:c>
      <x:c r="P26" s="19" t="str">
        <x:v>网络；部分功能需要 API 密钥、机构订阅或本地脚本</x:v>
      </x:c>
      <x:c r="Q26" s="19" t="str">
        <x:v>外部接口、馆藏覆盖和访问政策会变化；不得绕过权限或版权限制。</x:v>
      </x:c>
      <x:c r="R26" s="21" t="str">
        <x:v>说明已核验</x:v>
      </x:c>
      <x:c r="S26" s="21" t="str">
        <x:v>中</x:v>
      </x:c>
      <x:c r="T26" s="20" t="n">
        <x:v>270</x:v>
      </x:c>
      <x:c r="U26" s="20" t="str">
        <x:v>2026-06-19</x:v>
      </x:c>
      <x:c r="V26" s="18" t="str">
        <x:v>MIT</x:v>
      </x:c>
    </x:row>
    <x:row r="27" ht="58" customHeight="1">
      <x:c r="A27" s="20" t="n">
        <x:v>23</x:v>
      </x:c>
      <x:c r="B27" s="20" t="str">
        <x:v>GH-04-0023</x:v>
      </x:c>
      <x:c r="C27" s="19" t="str">
        <x:v>fair-data</x:v>
      </x:c>
      <x:c r="D27" s="19" t="str">
        <x:v>FAIR 数据原则速查</x:v>
      </x:c>
      <x:c r="E27" s="19" t="str">
        <x:v>按可发现、可访问、可互操作和可复用四项原则检查科研数据管理。</x:v>
      </x:c>
      <x:c r="F27" s="19" t="str">
        <x:v>https://github.com/wu-yc/LabClaw/blob/main/skills/general/fair-data/SKILL.md</x:v>
      </x:c>
      <x:c r="G27" s="19" t="str">
        <x:v>wu-yc/LabClaw</x:v>
      </x:c>
      <x:c r="H27" s="19" t="str">
        <x:v>https://github.com/wu-yc/LabClaw</x:v>
      </x:c>
      <x:c r="I27" s="19" t="str">
        <x:v>LabClaw / 可移植工作流</x:v>
      </x:c>
      <x:c r="J27" s="19" t="str">
        <x:v>社区 skill、GitHub 公开仓库（许可证待核）</x:v>
      </x:c>
      <x:c r="K27" s="19" t="str">
        <x:v>FAIR、科研数据、数据存储库、复用</x:v>
      </x:c>
      <x:c r="L27" s="19" t="str">
        <x:v>科研人员、研究生、图书馆与科研数据管理人员</x:v>
      </x:c>
      <x:c r="M27" s="19" t="str">
        <x:v>个人/机构知识库、科研数据治理、元数据规范与术语控制</x:v>
      </x:c>
      <x:c r="N27" s="21" t="str">
        <x:v>B</x:v>
      </x:c>
      <x:c r="O27" s="19" t="str">
        <x:v>从只读盘点和小样本映射开始；凭据、写操作和批量变更另设审批。</x:v>
      </x:c>
      <x:c r="P27" s="19" t="str">
        <x:v>对应平台或数据标准；部分功能需要 Python、API 凭据或本地索引</x:v>
      </x:c>
      <x:c r="Q27" s="19" t="str">
        <x:v>元数据映射可能丢失语义；凭据、未公开研究对象和批量写入必须受控。 仓库许可证未明确或无法由 GitHub 自动识别，采用前需单独核验。</x:v>
      </x:c>
      <x:c r="R27" s="21" t="str">
        <x:v>说明已核验</x:v>
      </x:c>
      <x:c r="S27" s="21" t="str">
        <x:v>中</x:v>
      </x:c>
      <x:c r="T27" s="20" t="n">
        <x:v>1044</x:v>
      </x:c>
      <x:c r="U27" s="20" t="str">
        <x:v>2026-03-19</x:v>
      </x:c>
      <x:c r="V27" s="18" t="str">
        <x:v>未明确</x:v>
      </x:c>
    </x:row>
    <x:row r="28" ht="58" customHeight="1">
      <x:c r="A28" s="20" t="n">
        <x:v>24</x:v>
      </x:c>
      <x:c r="B28" s="20" t="str">
        <x:v>GH-04-0024</x:v>
      </x:c>
      <x:c r="C28" s="19" t="str">
        <x:v>fair-check</x:v>
      </x:c>
      <x:c r="D28" s="19" t="str">
        <x:v>FAIR 论文与研究对象检查</x:v>
      </x:c>
      <x:c r="E28" s="19" t="str">
        <x:v>清点论文关联研究对象并逐项检查其可发现性、可访问性、互操作性与复用性。</x:v>
      </x:c>
      <x:c r="F28" s="19" t="str">
        <x:v>https://github.com/scdenney/open-science-skills/blob/main/codex/fair-check/SKILL.md</x:v>
      </x:c>
      <x:c r="G28" s="19" t="str">
        <x:v>scdenney/open-science-skills</x:v>
      </x:c>
      <x:c r="H28" s="19" t="str">
        <x:v>https://github.com/scdenney/open-science-skills</x:v>
      </x:c>
      <x:c r="I28" s="19" t="str">
        <x:v>OpenAI Codex、Anthropic Claude Code</x:v>
      </x:c>
      <x:c r="J28" s="19" t="str">
        <x:v>社区 skill、GitHub 公开仓库（许可证待核）</x:v>
      </x:c>
      <x:c r="K28" s="19" t="str">
        <x:v>FAIR、论文审计、研究对象、透明报告</x:v>
      </x:c>
      <x:c r="L28" s="19" t="str">
        <x:v>科研人员、研究生、图书馆与科研数据管理人员</x:v>
      </x:c>
      <x:c r="M28" s="19" t="str">
        <x:v>个人/机构知识库、科研数据治理、元数据规范与术语控制</x:v>
      </x:c>
      <x:c r="N28" s="21" t="str">
        <x:v>B</x:v>
      </x:c>
      <x:c r="O28" s="19" t="str">
        <x:v>从只读盘点和小样本映射开始；凭据、写操作和批量变更另设审批。</x:v>
      </x:c>
      <x:c r="P28" s="19" t="str">
        <x:v>对应平台或数据标准；部分功能需要 Python、API 凭据或本地索引</x:v>
      </x:c>
      <x:c r="Q28" s="19" t="str">
        <x:v>元数据映射可能丢失语义；凭据、未公开研究对象和批量写入必须受控。 仓库许可证未明确或无法由 GitHub 自动识别，采用前需单独核验。</x:v>
      </x:c>
      <x:c r="R28" s="21" t="str">
        <x:v>二级包内容验证</x:v>
      </x:c>
      <x:c r="S28" s="21" t="str">
        <x:v>高</x:v>
      </x:c>
      <x:c r="T28" s="20" t="n">
        <x:v>39</x:v>
      </x:c>
      <x:c r="U28" s="20" t="str">
        <x:v>2026-08-06</x:v>
      </x:c>
      <x:c r="V28" s="18" t="str">
        <x:v>NOASSERTION</x:v>
      </x:c>
    </x:row>
    <x:row r="29" ht="58" customHeight="1">
      <x:c r="A29" s="20" t="n">
        <x:v>25</x:v>
      </x:c>
      <x:c r="B29" s="20" t="str">
        <x:v>GH-04-0025</x:v>
      </x:c>
      <x:c r="C29" s="19" t="str">
        <x:v>design-metadata-schema</x:v>
      </x:c>
      <x:c r="D29" s="19" t="str">
        <x:v>元数据模式设计</x:v>
      </x:c>
      <x:c r="E29" s="19" t="str">
        <x:v>从业务与检索需求出发定义字段、约束、验证规则和可维护的元数据模式。</x:v>
      </x:c>
      <x:c r="F29" s="19" t="str">
        <x:v>https://github.com/dandye/ai-runbooks/blob/main/skills/design-metadata-schema/SKILL.md</x:v>
      </x:c>
      <x:c r="G29" s="19" t="str">
        <x:v>dandye/ai-runbooks</x:v>
      </x:c>
      <x:c r="H29" s="19" t="str">
        <x:v>https://github.com/dandye/ai-runbooks</x:v>
      </x:c>
      <x:c r="I29" s="19" t="str">
        <x:v>Agent Skills（通用）</x:v>
      </x:c>
      <x:c r="J29" s="19" t="str">
        <x:v>社区 skill、GitHub 开源仓库</x:v>
      </x:c>
      <x:c r="K29" s="19" t="str">
        <x:v>元数据、字段约束、验证、模式文档</x:v>
      </x:c>
      <x:c r="L29" s="19" t="str">
        <x:v>科研人员、研究生、图书馆与科研数据管理人员</x:v>
      </x:c>
      <x:c r="M29" s="19" t="str">
        <x:v>个人/机构知识库、科研数据治理、元数据规范与术语控制</x:v>
      </x:c>
      <x:c r="N29" s="21" t="str">
        <x:v>B</x:v>
      </x:c>
      <x:c r="O29" s="19" t="str">
        <x:v>从只读盘点和小样本映射开始；凭据、写操作和批量变更另设审批。</x:v>
      </x:c>
      <x:c r="P29" s="19" t="str">
        <x:v>对应平台或数据标准；部分功能需要 Python、API 凭据或本地索引</x:v>
      </x:c>
      <x:c r="Q29" s="19" t="str">
        <x:v>元数据映射可能丢失语义；凭据、未公开研究对象和批量写入必须受控。</x:v>
      </x:c>
      <x:c r="R29" s="21" t="str">
        <x:v>说明已核验</x:v>
      </x:c>
      <x:c r="S29" s="21" t="str">
        <x:v>中</x:v>
      </x:c>
      <x:c r="T29" s="20" t="n">
        <x:v>120</x:v>
      </x:c>
      <x:c r="U29" s="20" t="str">
        <x:v>2026-08-04</x:v>
      </x:c>
      <x:c r="V29" s="18" t="str">
        <x:v>Apache-2.0</x:v>
      </x:c>
    </x:row>
    <x:row r="30" ht="58" customHeight="1">
      <x:c r="A30" s="20" t="n">
        <x:v>26</x:v>
      </x:c>
      <x:c r="B30" s="20" t="str">
        <x:v>GH-04-0026</x:v>
      </x:c>
      <x:c r="C30" s="19" t="str">
        <x:v>zotero-bridge</x:v>
      </x:c>
      <x:c r="D30" s="19" t="str">
        <x:v>Zotero 本地知识库桥接</x:v>
      </x:c>
      <x:c r="E30" s="19" t="str">
        <x:v>把 Zotero 馆藏分层同步到本地 FTS5 与 RAG 索引，支持基于个人文献库的可引用检索。</x:v>
      </x:c>
      <x:c r="F30" s="19" t="str">
        <x:v>https://github.com/Albert-Libra/nanobot-zotero-bridge/blob/master/SKILL.md</x:v>
      </x:c>
      <x:c r="G30" s="19" t="str">
        <x:v>Albert-Libra/nanobot-zotero-bridge</x:v>
      </x:c>
      <x:c r="H30" s="19" t="str">
        <x:v>https://github.com/Albert-Libra/nanobot-zotero-bridge</x:v>
      </x:c>
      <x:c r="I30" s="19" t="str">
        <x:v>nanobot / 可适配 Agent Skill</x:v>
      </x:c>
      <x:c r="J30" s="19" t="str">
        <x:v>社区 skill、GitHub 公开仓库（许可证待核）</x:v>
      </x:c>
      <x:c r="K30" s="19" t="str">
        <x:v>Zotero、全文索引、RAG、混合检索</x:v>
      </x:c>
      <x:c r="L30" s="19" t="str">
        <x:v>科研人员、研究生、图书馆与科研数据管理人员</x:v>
      </x:c>
      <x:c r="M30" s="19" t="str">
        <x:v>个人/机构知识库、科研数据治理、元数据规范与术语控制</x:v>
      </x:c>
      <x:c r="N30" s="21" t="str">
        <x:v>B</x:v>
      </x:c>
      <x:c r="O30" s="19" t="str">
        <x:v>从只读盘点和小样本映射开始；凭据、写操作和批量变更另设审批。</x:v>
      </x:c>
      <x:c r="P30" s="19" t="str">
        <x:v>对应平台或数据标准；部分功能需要 Python、API 凭据或本地索引</x:v>
      </x:c>
      <x:c r="Q30" s="19" t="str">
        <x:v>元数据映射可能丢失语义；凭据、未公开研究对象和批量写入必须受控。 仓库许可证未明确或无法由 GitHub 自动识别，采用前需单独核验。</x:v>
      </x:c>
      <x:c r="R30" s="21" t="str">
        <x:v>二级包内容验证</x:v>
      </x:c>
      <x:c r="S30" s="21" t="str">
        <x:v>高</x:v>
      </x:c>
      <x:c r="T30" s="20" t="n">
        <x:v>3</x:v>
      </x:c>
      <x:c r="U30" s="20" t="str">
        <x:v>2026-06-01</x:v>
      </x:c>
      <x:c r="V30" s="18" t="str">
        <x:v>未明确</x:v>
      </x:c>
    </x:row>
    <x:row r="31" ht="58" customHeight="1">
      <x:c r="A31" s="20" t="n">
        <x:v>27</x:v>
      </x:c>
      <x:c r="B31" s="20" t="str">
        <x:v>GH-04-0027</x:v>
      </x:c>
      <x:c r="C31" s="19" t="str">
        <x:v>ontology-term-resolution</x:v>
      </x:c>
      <x:c r="D31" s="19" t="str">
        <x:v>本体术语规范化与解析</x:v>
      </x:c>
      <x:c r="E31" s="19" t="str">
        <x:v>在指定本体范围内把自由文本解析为规范术语，并显式报告未匹配或模糊结果。</x:v>
      </x:c>
      <x:c r="F31" s="19" t="str">
        <x:v>https://github.com/K-Dense-AI/scientific-agent-skills/blob/main/skills/ontology-term-resolution/SKILL.md</x:v>
      </x:c>
      <x:c r="G31" s="19" t="str">
        <x:v>K-Dense-AI/scientific-agent-skills</x:v>
      </x:c>
      <x:c r="H31" s="19" t="str">
        <x:v>https://github.com/K-Dense-AI/scientific-agent-skills</x:v>
      </x:c>
      <x:c r="I31" s="19" t="str">
        <x:v>Agent Skills（兼容 Codex、Claude Code、Cursor 等）</x:v>
      </x:c>
      <x:c r="J31" s="19" t="str">
        <x:v>社区 skill、GitHub 开源仓库</x:v>
      </x:c>
      <x:c r="K31" s="19" t="str">
        <x:v>本体、受控词表、术语映射、数据规范</x:v>
      </x:c>
      <x:c r="L31" s="19" t="str">
        <x:v>科研人员、研究生、图书馆与科研数据管理人员</x:v>
      </x:c>
      <x:c r="M31" s="19" t="str">
        <x:v>个人/机构知识库、科研数据治理、元数据规范与术语控制</x:v>
      </x:c>
      <x:c r="N31" s="21" t="str">
        <x:v>B</x:v>
      </x:c>
      <x:c r="O31" s="19" t="str">
        <x:v>从只读盘点和小样本映射开始；凭据、写操作和批量变更另设审批。</x:v>
      </x:c>
      <x:c r="P31" s="19" t="str">
        <x:v>对应平台或数据标准；部分功能需要 Python、API 凭据或本地索引</x:v>
      </x:c>
      <x:c r="Q31" s="19" t="str">
        <x:v>元数据映射可能丢失语义；凭据、未公开研究对象和批量写入必须受控。</x:v>
      </x:c>
      <x:c r="R31" s="21" t="str">
        <x:v>二级包内容验证</x:v>
      </x:c>
      <x:c r="S31" s="21" t="str">
        <x:v>高</x:v>
      </x:c>
      <x:c r="T31" s="20" t="n">
        <x:v>32822</x:v>
      </x:c>
      <x:c r="U31" s="20" t="str">
        <x:v>2026-08-03</x:v>
      </x:c>
      <x:c r="V31" s="18" t="str">
        <x:v>MIT</x:v>
      </x:c>
    </x:row>
    <x:row r="32" ht="58" customHeight="1">
      <x:c r="A32" s="20" t="n">
        <x:v>28</x:v>
      </x:c>
      <x:c r="B32" s="20" t="str">
        <x:v>GH-04-0028</x:v>
      </x:c>
      <x:c r="C32" s="19" t="str">
        <x:v>labarchive-integration</x:v>
      </x:c>
      <x:c r="D32" s="19" t="str">
        <x:v>LabArchives 电子实验记录集成</x:v>
      </x:c>
      <x:c r="E32" s="19" t="str">
        <x:v>规划 LabArchives ELN 与库存接口的认证、区域端点、读取和受控写入请求。</x:v>
      </x:c>
      <x:c r="F32" s="19" t="str">
        <x:v>https://github.com/K-Dense-AI/scientific-agent-skills/blob/main/skills/labarchive-integration/SKILL.md</x:v>
      </x:c>
      <x:c r="G32" s="19" t="str">
        <x:v>K-Dense-AI/scientific-agent-skills</x:v>
      </x:c>
      <x:c r="H32" s="19" t="str">
        <x:v>https://github.com/K-Dense-AI/scientific-agent-skills</x:v>
      </x:c>
      <x:c r="I32" s="19" t="str">
        <x:v>Agent Skills（兼容 Codex、Claude Code、Cursor 等）</x:v>
      </x:c>
      <x:c r="J32" s="19" t="str">
        <x:v>社区 skill、GitHub 开源仓库</x:v>
      </x:c>
      <x:c r="K32" s="19" t="str">
        <x:v>ELN、实验记录、库存、API、权限</x:v>
      </x:c>
      <x:c r="L32" s="19" t="str">
        <x:v>科研人员、研究生、图书馆与科研数据管理人员</x:v>
      </x:c>
      <x:c r="M32" s="19" t="str">
        <x:v>个人/机构知识库、科研数据治理、元数据规范与术语控制</x:v>
      </x:c>
      <x:c r="N32" s="21" t="str">
        <x:v>B</x:v>
      </x:c>
      <x:c r="O32" s="19" t="str">
        <x:v>从只读盘点和小样本映射开始；凭据、写操作和批量变更另设审批。</x:v>
      </x:c>
      <x:c r="P32" s="19" t="str">
        <x:v>对应平台或数据标准；部分功能需要 Python、API 凭据或本地索引</x:v>
      </x:c>
      <x:c r="Q32" s="19" t="str">
        <x:v>元数据映射可能丢失语义；凭据、未公开研究对象和批量写入必须受控。</x:v>
      </x:c>
      <x:c r="R32" s="21" t="str">
        <x:v>二级包内容验证</x:v>
      </x:c>
      <x:c r="S32" s="21" t="str">
        <x:v>中</x:v>
      </x:c>
      <x:c r="T32" s="20" t="n">
        <x:v>32822</x:v>
      </x:c>
      <x:c r="U32" s="20" t="str">
        <x:v>2026-08-03</x:v>
      </x:c>
      <x:c r="V32" s="18" t="str">
        <x:v>MIT</x:v>
      </x:c>
    </x:row>
    <x:row r="33" ht="58" customHeight="1">
      <x:c r="A33" s="20" t="n">
        <x:v>29</x:v>
      </x:c>
      <x:c r="B33" s="20" t="str">
        <x:v>GH-04-0029</x:v>
      </x:c>
      <x:c r="C33" s="19" t="str">
        <x:v>develop-web-translator</x:v>
      </x:c>
      <x:c r="D33" s="19" t="str">
        <x:v>Zotero 网页翻译器开发</x:v>
      </x:c>
      <x:c r="E33" s="19" t="str">
        <x:v>分析网站结构并开发、测试 Zotero 网页翻译器，以改善书目元数据抓取与导入。</x:v>
      </x:c>
      <x:c r="F33" s="19" t="str">
        <x:v>https://github.com/zotero/translators/blob/master/.agent/skills/develop-web-translator/SKILL.md</x:v>
      </x:c>
      <x:c r="G33" s="19" t="str">
        <x:v>zotero/translators</x:v>
      </x:c>
      <x:c r="H33" s="19" t="str">
        <x:v>https://github.com/zotero/translators</x:v>
      </x:c>
      <x:c r="I33" s="19" t="str">
        <x:v>Zotero 开发工作流 / Agent Skill</x:v>
      </x:c>
      <x:c r="J33" s="19" t="str">
        <x:v>社区 skill、GitHub 公开仓库（许可证待核）</x:v>
      </x:c>
      <x:c r="K33" s="19" t="str">
        <x:v>Zotero Translator、网页元数据、测试、馆藏导入</x:v>
      </x:c>
      <x:c r="L33" s="19" t="str">
        <x:v>学生、教师、图书馆人员</x:v>
      </x:c>
      <x:c r="M33" s="19" t="str">
        <x:v>信息素养课程、读者培训、图书馆项目与服务设计</x:v>
      </x:c>
      <x:c r="N33" s="21" t="str">
        <x:v>B</x:v>
      </x:c>
      <x:c r="O33" s="19" t="str">
        <x:v>可作为课程或服务模板，需补充本校资源、制度、学习目标和评价量规。</x:v>
      </x:c>
      <x:c r="P33" s="19" t="str">
        <x:v>无硬性运行依赖；实施时需要本校资源与受众信息</x:v>
      </x:c>
      <x:c r="Q33" s="19" t="str">
        <x:v>内容较通用或较轻量，不能替代本校政策、专业馆员判断和学习成效评估。 仓库许可证未明确或无法由 GitHub 自动识别，采用前需单独核验。</x:v>
      </x:c>
      <x:c r="R33" s="21" t="str">
        <x:v>说明已核验</x:v>
      </x:c>
      <x:c r="S33" s="21" t="str">
        <x:v>中</x:v>
      </x:c>
      <x:c r="T33" s="20" t="n">
        <x:v>1670</x:v>
      </x:c>
      <x:c r="U33" s="20" t="str">
        <x:v>2026-08-05</x:v>
      </x:c>
      <x:c r="V33" s="18" t="str">
        <x:v>未明确</x:v>
      </x:c>
    </x:row>
  </x:sheetData>
  <x:mergeCells>
    <x:mergeCell ref="A1:V1"/>
    <x:mergeCell ref="A2:V2"/>
  </x:mergeCells>
  <x:conditionalFormatting sqref="N5:N33">
    <x:cfRule type="cellIs" dxfId="0" priority="1" operator="equal">
      <x:formula>"A"</x:formula>
    </x:cfRule>
    <x:cfRule type="cellIs" dxfId="1" priority="2" operator="equal">
      <x:formula>"B"</x:formula>
    </x:cfRule>
    <x:cfRule type="cellIs" dxfId="2" priority="3" operator="equal">
      <x:formula>"C"</x:formula>
    </x:cfRule>
  </x:conditionalFormatting>
  <x:conditionalFormatting sqref="S5:S33">
    <x:cfRule type="cellIs" dxfId="3" priority="4" operator="equal">
      <x:formula>"高"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b26afd725241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6" max="6" width="60" hidden="0" customWidth="1"/>
    <x:col min="7" max="7" width="12" hidden="0" customWidth="1"/>
  </x:cols>
  <x:sheetData>
    <x:row r="1">
      <x:c r="A1" s="16" t="str">
        <x:v>图书馆与信息素养｜结构统计</x:v>
      </x:c>
      <x:c r="B1" s="16"/>
      <x:c r="C1" s="16"/>
      <x:c r="D1" s="16"/>
      <x:c r="E1" s="16"/>
      <x:c r="F1" s="16"/>
      <x:c r="G1" s="16"/>
      <x:c r="H1" s="16"/>
      <x:c r="I1" s="16"/>
      <x:c r="J1" s="16"/>
    </x:row>
    <x:row r="3">
      <x:c r="A3" s="9" t="str">
        <x:v>核心指标</x:v>
      </x:c>
      <x:c r="B3" s="9" t="str">
        <x:v>数量</x:v>
      </x:c>
      <x:c r="F3" s="15" t="str">
        <x:v>独立标注的生态</x:v>
      </x:c>
      <x:c r="G3" s="15" t="str">
        <x:v>数量</x:v>
      </x:c>
    </x:row>
    <x:row r="4">
      <x:c r="A4" s="10" t="str">
        <x:v>入选Skill</x:v>
      </x:c>
      <x:c r="B4" s="22" t="n">
        <x:f>COUNTA('Skill总表'!$B$5:$B$33)</x:f>
        <x:v>29</x:v>
      </x:c>
      <x:c r="F4" s="13" t="str">
        <x:v>Agent Skills 社区示例</x:v>
      </x:c>
      <x:c r="G4" s="25" t="n">
        <x:f>COUNTIF('Skill总表'!$I$5:$I$33,F4)</x:f>
        <x:v>4</x:v>
      </x:c>
    </x:row>
    <x:row r="5">
      <x:c r="A5" s="10" t="str">
        <x:v>优先级：高</x:v>
      </x:c>
      <x:c r="B5" s="22" t="n">
        <x:f>COUNTIF('Skill总表'!$S$5:$S$33,"高")</x:f>
        <x:v>11</x:v>
      </x:c>
      <x:c r="F5" s="13" t="str">
        <x:v>Agent Skills（.agents 目录）</x:v>
      </x:c>
      <x:c r="G5" s="25" t="n">
        <x:f>COUNTIF('Skill总表'!$I$5:$I$33,F5)</x:f>
        <x:v>1</x:v>
      </x:c>
    </x:row>
    <x:row r="6">
      <x:c r="A6" s="10" t="str">
        <x:v>优先级：中</x:v>
      </x:c>
      <x:c r="B6" s="22" t="n">
        <x:f>COUNTIF('Skill总表'!$S$5:$S$33,"中")</x:f>
        <x:v>18</x:v>
      </x:c>
      <x:c r="F6" s="13" t="str">
        <x:v>Agent Skills（兼容 Codex、Claude Code、Cursor 等）</x:v>
      </x:c>
      <x:c r="G6" s="25" t="n">
        <x:f>COUNTIF('Skill总表'!$I$5:$I$33,F6)</x:f>
        <x:v>2</x:v>
      </x:c>
    </x:row>
    <x:row r="7">
      <x:c r="A7" s="10" t="str">
        <x:v>二级包内容验证</x:v>
      </x:c>
      <x:c r="B7" s="22" t="n">
        <x:f>COUNTIF('Skill总表'!$R$5:$R$33,"二级包内容验证")</x:f>
        <x:v>7</x:v>
      </x:c>
      <x:c r="F7" s="13" t="str">
        <x:v>Agent Skills（跨生态）</x:v>
      </x:c>
      <x:c r="G7" s="25" t="n">
        <x:f>COUNTIF('Skill总表'!$I$5:$I$33,F7)</x:f>
        <x:v>3</x:v>
      </x:c>
    </x:row>
    <x:row r="8">
      <x:c r="A8" s="10" t="str">
        <x:v>说明已核验</x:v>
      </x:c>
      <x:c r="B8" s="22" t="n">
        <x:f>COUNTIF('Skill总表'!$R$5:$R$33,"说明已核验")</x:f>
        <x:v>22</x:v>
      </x:c>
      <x:c r="F8" s="13" t="str">
        <x:v>Agent Skills（通用）</x:v>
      </x:c>
      <x:c r="G8" s="25" t="n">
        <x:f>COUNTIF('Skill总表'!$I$5:$I$33,F8)</x:f>
        <x:v>1</x:v>
      </x:c>
    </x:row>
    <x:row r="9">
      <x:c r="A9" s="10" t="str">
        <x:v>独立仓库</x:v>
      </x:c>
      <x:c r="B9" s="22" t="n">
        <x:f>COUNTA('来源清单'!$A$5:$A$16)</x:f>
        <x:v>12</x:v>
      </x:c>
      <x:c r="F9" s="13" t="str">
        <x:v>Anthropic Claude Code / 可移植模板</x:v>
      </x:c>
      <x:c r="G9" s="25" t="n">
        <x:f>COUNTIF('Skill总表'!$I$5:$I$33,F9)</x:f>
        <x:v>8</x:v>
      </x:c>
    </x:row>
    <x:row r="10">
      <x:c r="B10" s="23"/>
      <x:c r="F10" s="13" t="str">
        <x:v>LabClaw / 可移植工作流</x:v>
      </x:c>
      <x:c r="G10" s="25" t="n">
        <x:f>COUNTIF('Skill总表'!$I$5:$I$33,F10)</x:f>
        <x:v>1</x:v>
      </x:c>
    </x:row>
    <x:row r="11">
      <x:c r="B11" s="23"/>
      <x:c r="F11" s="13" t="str">
        <x:v>OpenAI Codex、Anthropic Claude Code</x:v>
      </x:c>
      <x:c r="G11" s="25" t="n">
        <x:f>COUNTIF('Skill总表'!$I$5:$I$33,F11)</x:f>
        <x:v>1</x:v>
      </x:c>
    </x:row>
    <x:row r="12">
      <x:c r="A12" s="9" t="str">
        <x:v>兼容等级</x:v>
      </x:c>
      <x:c r="B12" s="24" t="str">
        <x:v>数量</x:v>
      </x:c>
      <x:c r="F12" s="13" t="str">
        <x:v>Research-Claw / 可移植工作流</x:v>
      </x:c>
      <x:c r="G12" s="25" t="n">
        <x:f>COUNTIF('Skill总表'!$I$5:$I$33,F12)</x:f>
        <x:v>6</x:v>
      </x:c>
    </x:row>
    <x:row r="13">
      <x:c r="A13" s="10" t="str">
        <x:v>A</x:v>
      </x:c>
      <x:c r="B13" s="22" t="n">
        <x:f>COUNTIF('Skill总表'!$N$5:$N$33,"A")</x:f>
        <x:v>0</x:v>
      </x:c>
      <x:c r="F13" s="13" t="str">
        <x:v>Zotero 开发工作流 / Agent Skill</x:v>
      </x:c>
      <x:c r="G13" s="25" t="n">
        <x:f>COUNTIF('Skill总表'!$I$5:$I$33,F13)</x:f>
        <x:v>1</x:v>
      </x:c>
    </x:row>
    <x:row r="14">
      <x:c r="A14" s="10" t="str">
        <x:v>B</x:v>
      </x:c>
      <x:c r="B14" s="22" t="n">
        <x:f>COUNTIF('Skill总表'!$N$5:$N$33,"B")</x:f>
        <x:v>29</x:v>
      </x:c>
      <x:c r="F14" s="13" t="str">
        <x:v>nanobot / 可适配 Agent Skill</x:v>
      </x:c>
      <x:c r="G14" s="25" t="n">
        <x:f>COUNTIF('Skill总表'!$I$5:$I$33,F14)</x:f>
        <x:v>1</x:v>
      </x:c>
    </x:row>
    <x:row r="15">
      <x:c r="A15" s="10" t="str">
        <x:v>C</x:v>
      </x:c>
      <x:c r="B15" s="22" t="n">
        <x:f>COUNTIF('Skill总表'!$N$5:$N$33,"C")</x:f>
        <x:v>0</x:v>
      </x:c>
    </x:row>
    <x:row r="16">
      <x:c r="A16" s="10" t="str">
        <x:v>D</x:v>
      </x:c>
      <x:c r="B16" s="22" t="n">
        <x:f>COUNTIF('Skill总表'!$N$5:$N$33,"D")</x:f>
        <x:v>0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5ecd44e1d9cd435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0" hidden="0" customWidth="1"/>
    <x:col min="3" max="3" width="12" hidden="0" customWidth="1"/>
    <x:col min="4" max="4" width="15" hidden="0" customWidth="1"/>
    <x:col min="5" max="5" width="22" hidden="0" customWidth="1"/>
    <x:col min="6" max="6" width="14" hidden="0" customWidth="1"/>
    <x:col min="7" max="7" width="34" hidden="0" customWidth="1"/>
  </x:cols>
  <x:sheetData>
    <x:row r="1">
      <x:c r="A1" s="16" t="str">
        <x:v>图书馆与信息素养｜GitHub 来源清单</x:v>
      </x:c>
      <x:c r="B1" s="16"/>
      <x:c r="C1" s="16"/>
      <x:c r="D1" s="16"/>
      <x:c r="E1" s="16"/>
      <x:c r="F1" s="16"/>
      <x:c r="G1" s="16"/>
    </x:row>
    <x:row r="2">
      <x:c r="A2" s="5" t="str">
        <x:v>同一仓库可能包含多个入选 skill；许可证需以具体目录和当前仓库文件为准。</x:v>
      </x:c>
      <x:c r="B2" s="5"/>
      <x:c r="C2" s="5"/>
      <x:c r="D2" s="5"/>
      <x:c r="E2" s="5"/>
      <x:c r="F2" s="5"/>
      <x:c r="G2" s="5"/>
    </x:row>
    <x:row r="4">
      <x:c r="A4" s="15" t="str">
        <x:v>GitHub仓库</x:v>
      </x:c>
      <x:c r="B4" s="15" t="str">
        <x:v>仓库地址</x:v>
      </x:c>
      <x:c r="C4" s="15" t="str">
        <x:v>Stars</x:v>
      </x:c>
      <x:c r="D4" s="15" t="str">
        <x:v>最近推送</x:v>
      </x:c>
      <x:c r="E4" s="15" t="str">
        <x:v>许可证</x:v>
      </x:c>
      <x:c r="F4" s="15" t="str">
        <x:v>入选Skill数</x:v>
      </x:c>
      <x:c r="G4" s="15" t="str">
        <x:v>来源形态</x:v>
      </x:c>
    </x:row>
    <x:row r="5">
      <x:c r="A5" s="19" t="str">
        <x:v>ASI2030/Fact-Check-X</x:v>
      </x:c>
      <x:c r="B5" s="19" t="str">
        <x:v>https://github.com/ASI2030/Fact-Check-X</x:v>
      </x:c>
      <x:c r="C5" s="19" t="n">
        <x:v>0</x:v>
      </x:c>
      <x:c r="D5" s="19" t="str">
        <x:v>2026-07-30</x:v>
      </x:c>
      <x:c r="E5" s="19" t="str">
        <x:v>Apache-2.0</x:v>
      </x:c>
      <x:c r="F5" s="19" t="n">
        <x:f>COUNTIF('Skill总表'!$G$5:$G$33,A5)</x:f>
        <x:v>2</x:v>
      </x:c>
      <x:c r="G5" s="19" t="str">
        <x:v>社区 skill、GitHub 开源仓库</x:v>
      </x:c>
    </x:row>
    <x:row r="6">
      <x:c r="A6" s="19" t="str">
        <x:v>AhmedAnwar-Gazy/latex_templet</x:v>
      </x:c>
      <x:c r="B6" s="19" t="str">
        <x:v>https://github.com/AhmedAnwar-Gazy/latex_templet</x:v>
      </x:c>
      <x:c r="C6" s="19" t="n">
        <x:v>1</x:v>
      </x:c>
      <x:c r="D6" s="19" t="str">
        <x:v>2026-05-08</x:v>
      </x:c>
      <x:c r="E6" s="19" t="str">
        <x:v>未明确</x:v>
      </x:c>
      <x:c r="F6" s="19" t="n">
        <x:f>COUNTIF('Skill总表'!$G$5:$G$33,A6)</x:f>
        <x:v>1</x:v>
      </x:c>
      <x:c r="G6" s="19" t="str">
        <x:v>社区 skill、GitHub 公开仓库（许可证待核）</x:v>
      </x:c>
    </x:row>
    <x:row r="7">
      <x:c r="A7" s="19" t="str">
        <x:v>Albert-Libra/nanobot-zotero-bridge</x:v>
      </x:c>
      <x:c r="B7" s="19" t="str">
        <x:v>https://github.com/Albert-Libra/nanobot-zotero-bridge</x:v>
      </x:c>
      <x:c r="C7" s="19" t="n">
        <x:v>3</x:v>
      </x:c>
      <x:c r="D7" s="19" t="str">
        <x:v>2026-06-01</x:v>
      </x:c>
      <x:c r="E7" s="19" t="str">
        <x:v>未明确</x:v>
      </x:c>
      <x:c r="F7" s="19" t="n">
        <x:f>COUNTIF('Skill总表'!$G$5:$G$33,A7)</x:f>
        <x:v>1</x:v>
      </x:c>
      <x:c r="G7" s="19" t="str">
        <x:v>社区 skill、GitHub 公开仓库（许可证待核）</x:v>
      </x:c>
    </x:row>
    <x:row r="8">
      <x:c r="A8" s="19" t="str">
        <x:v>K-Dense-AI/scientific-agent-skills</x:v>
      </x:c>
      <x:c r="B8" s="19" t="str">
        <x:v>https://github.com/K-Dense-AI/scientific-agent-skills</x:v>
      </x:c>
      <x:c r="C8" s="19" t="n">
        <x:v>32822</x:v>
      </x:c>
      <x:c r="D8" s="19" t="str">
        <x:v>2026-08-03</x:v>
      </x:c>
      <x:c r="E8" s="19" t="str">
        <x:v>MIT</x:v>
      </x:c>
      <x:c r="F8" s="19" t="n">
        <x:f>COUNTIF('Skill总表'!$G$5:$G$33,A8)</x:f>
        <x:v>2</x:v>
      </x:c>
      <x:c r="G8" s="19" t="str">
        <x:v>社区 skill、GitHub 开源仓库</x:v>
      </x:c>
    </x:row>
    <x:row r="9">
      <x:c r="A9" s="19" t="str">
        <x:v>SamaritanOC/fact-checker</x:v>
      </x:c>
      <x:c r="B9" s="19" t="str">
        <x:v>https://github.com/SamaritanOC/fact-checker</x:v>
      </x:c>
      <x:c r="C9" s="19" t="n">
        <x:v>0</x:v>
      </x:c>
      <x:c r="D9" s="19" t="str">
        <x:v>2026-05-18</x:v>
      </x:c>
      <x:c r="E9" s="19" t="str">
        <x:v>未明确</x:v>
      </x:c>
      <x:c r="F9" s="19" t="n">
        <x:f>COUNTIF('Skill总表'!$G$5:$G$33,A9)</x:f>
        <x:v>1</x:v>
      </x:c>
      <x:c r="G9" s="19" t="str">
        <x:v>社区 skill、GitHub 公开仓库（许可证待核）</x:v>
      </x:c>
    </x:row>
    <x:row r="10">
      <x:c r="A10" s="19" t="str">
        <x:v>Tibsfox/gsd-skill-creator</x:v>
      </x:c>
      <x:c r="B10" s="19" t="str">
        <x:v>https://github.com/Tibsfox/gsd-skill-creator</x:v>
      </x:c>
      <x:c r="C10" s="19" t="n">
        <x:v>69</x:v>
      </x:c>
      <x:c r="D10" s="19" t="str">
        <x:v>2026-07-19</x:v>
      </x:c>
      <x:c r="E10" s="19" t="str">
        <x:v>NOASSERTION</x:v>
      </x:c>
      <x:c r="F10" s="19" t="n">
        <x:f>COUNTIF('Skill总表'!$G$5:$G$33,A10)</x:f>
        <x:v>4</x:v>
      </x:c>
      <x:c r="G10" s="19" t="str">
        <x:v>社区 skill、GitHub 公开仓库（许可证待核）</x:v>
      </x:c>
    </x:row>
    <x:row r="11">
      <x:c r="A11" s="19" t="str">
        <x:v>dandye/ai-runbooks</x:v>
      </x:c>
      <x:c r="B11" s="19" t="str">
        <x:v>https://github.com/dandye/ai-runbooks</x:v>
      </x:c>
      <x:c r="C11" s="19" t="n">
        <x:v>120</x:v>
      </x:c>
      <x:c r="D11" s="19" t="str">
        <x:v>2026-08-04</x:v>
      </x:c>
      <x:c r="E11" s="19" t="str">
        <x:v>Apache-2.0</x:v>
      </x:c>
      <x:c r="F11" s="19" t="n">
        <x:f>COUNTIF('Skill总表'!$G$5:$G$33,A11)</x:f>
        <x:v>1</x:v>
      </x:c>
      <x:c r="G11" s="19" t="str">
        <x:v>社区 skill、GitHub 开源仓库</x:v>
      </x:c>
    </x:row>
    <x:row r="12">
      <x:c r="A12" s="19" t="str">
        <x:v>lionelsimai/claude-skills-collection</x:v>
      </x:c>
      <x:c r="B12" s="19" t="str">
        <x:v>https://github.com/lionelsimai/claude-skills-collection</x:v>
      </x:c>
      <x:c r="C12" s="19" t="n">
        <x:v>20</x:v>
      </x:c>
      <x:c r="D12" s="19" t="str">
        <x:v>2026-02-08</x:v>
      </x:c>
      <x:c r="E12" s="19" t="str">
        <x:v>MIT</x:v>
      </x:c>
      <x:c r="F12" s="19" t="n">
        <x:f>COUNTIF('Skill总表'!$G$5:$G$33,A12)</x:f>
        <x:v>8</x:v>
      </x:c>
      <x:c r="G12" s="19" t="str">
        <x:v>社区 skill、GitHub 开源仓库</x:v>
      </x:c>
    </x:row>
    <x:row r="13">
      <x:c r="A13" s="19" t="str">
        <x:v>scdenney/open-science-skills</x:v>
      </x:c>
      <x:c r="B13" s="19" t="str">
        <x:v>https://github.com/scdenney/open-science-skills</x:v>
      </x:c>
      <x:c r="C13" s="19" t="n">
        <x:v>39</x:v>
      </x:c>
      <x:c r="D13" s="19" t="str">
        <x:v>2026-08-06</x:v>
      </x:c>
      <x:c r="E13" s="19" t="str">
        <x:v>NOASSERTION</x:v>
      </x:c>
      <x:c r="F13" s="19" t="n">
        <x:f>COUNTIF('Skill总表'!$G$5:$G$33,A13)</x:f>
        <x:v>1</x:v>
      </x:c>
      <x:c r="G13" s="19" t="str">
        <x:v>社区 skill、GitHub 公开仓库（许可证待核）</x:v>
      </x:c>
    </x:row>
    <x:row r="14">
      <x:c r="A14" s="19" t="str">
        <x:v>wentorai/research-plugins</x:v>
      </x:c>
      <x:c r="B14" s="19" t="str">
        <x:v>https://github.com/wentorai/research-plugins</x:v>
      </x:c>
      <x:c r="C14" s="19" t="n">
        <x:v>270</x:v>
      </x:c>
      <x:c r="D14" s="19" t="str">
        <x:v>2026-06-19</x:v>
      </x:c>
      <x:c r="E14" s="19" t="str">
        <x:v>MIT</x:v>
      </x:c>
      <x:c r="F14" s="19" t="n">
        <x:f>COUNTIF('Skill总表'!$G$5:$G$33,A14)</x:f>
        <x:v>6</x:v>
      </x:c>
      <x:c r="G14" s="19" t="str">
        <x:v>社区 skill、GitHub 开源仓库</x:v>
      </x:c>
    </x:row>
    <x:row r="15">
      <x:c r="A15" s="19" t="str">
        <x:v>wu-yc/LabClaw</x:v>
      </x:c>
      <x:c r="B15" s="19" t="str">
        <x:v>https://github.com/wu-yc/LabClaw</x:v>
      </x:c>
      <x:c r="C15" s="19" t="n">
        <x:v>1044</x:v>
      </x:c>
      <x:c r="D15" s="19" t="str">
        <x:v>2026-03-19</x:v>
      </x:c>
      <x:c r="E15" s="19" t="str">
        <x:v>未明确</x:v>
      </x:c>
      <x:c r="F15" s="19" t="n">
        <x:f>COUNTIF('Skill总表'!$G$5:$G$33,A15)</x:f>
        <x:v>1</x:v>
      </x:c>
      <x:c r="G15" s="19" t="str">
        <x:v>社区 skill、GitHub 公开仓库（许可证待核）</x:v>
      </x:c>
    </x:row>
    <x:row r="16">
      <x:c r="A16" s="19" t="str">
        <x:v>zotero/translators</x:v>
      </x:c>
      <x:c r="B16" s="19" t="str">
        <x:v>https://github.com/zotero/translators</x:v>
      </x:c>
      <x:c r="C16" s="19" t="n">
        <x:v>1670</x:v>
      </x:c>
      <x:c r="D16" s="19" t="str">
        <x:v>2026-08-05</x:v>
      </x:c>
      <x:c r="E16" s="19" t="str">
        <x:v>未明确</x:v>
      </x:c>
      <x:c r="F16" s="19" t="n">
        <x:f>COUNTIF('Skill总表'!$G$5:$G$33,A16)</x:f>
        <x:v>1</x:v>
      </x:c>
      <x:c r="G16" s="19" t="str">
        <x:v>社区 skill、GitHub 公开仓库（许可证待核）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24ea917a6334233"/>
  </x:tableParts>
</x:worksheet>
</file>